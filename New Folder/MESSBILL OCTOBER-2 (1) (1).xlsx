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name="H">Sheet1!$G:$G</definedName>
  </definedNames>
  <calcPr/>
  <extLst>
    <ext uri="GoogleSheetsCustomDataVersion2">
      <go:sheetsCustomData xmlns:go="http://customooxmlschemas.google.com/" r:id="rId7" roundtripDataChecksum="PkdymXFBw4azmrdLQz+QCb0VmhtS8DGJh7QoNwnamnw="/>
    </ext>
  </extLst>
</workbook>
</file>

<file path=xl/sharedStrings.xml><?xml version="1.0" encoding="utf-8"?>
<sst xmlns="http://schemas.openxmlformats.org/spreadsheetml/2006/main" count="724" uniqueCount="456">
  <si>
    <t>SIBERIA HOSTEL</t>
  </si>
  <si>
    <t>MESS BILL</t>
  </si>
  <si>
    <t>AUGUST</t>
  </si>
  <si>
    <t>Opening Stock</t>
  </si>
  <si>
    <t>Salary</t>
  </si>
  <si>
    <t>Total Expences</t>
  </si>
  <si>
    <t>Allowance</t>
  </si>
  <si>
    <t>Extras</t>
  </si>
  <si>
    <t>MISCELLANEOUS</t>
  </si>
  <si>
    <t>Closing Stock</t>
  </si>
  <si>
    <t>BONUS</t>
  </si>
  <si>
    <t>Per day charge</t>
  </si>
  <si>
    <t>Est. Charge</t>
  </si>
  <si>
    <t>SL.NO</t>
  </si>
  <si>
    <t>NAME</t>
  </si>
  <si>
    <t>DEPARTMENT</t>
  </si>
  <si>
    <t>EST</t>
  </si>
  <si>
    <t>TOTAL AMOUNT</t>
  </si>
  <si>
    <t>TOTAL DAYS</t>
  </si>
  <si>
    <t>MESSCUT</t>
  </si>
  <si>
    <t>EFFECTIVE DAYS</t>
  </si>
  <si>
    <t>EXTRAS&amp;GUEST</t>
  </si>
  <si>
    <t>LATE MESS</t>
  </si>
  <si>
    <t>FINAL</t>
  </si>
  <si>
    <t>AKSHAY</t>
  </si>
  <si>
    <t>DST</t>
  </si>
  <si>
    <t>AMAL KIRAN</t>
  </si>
  <si>
    <t>AMBAREESH V</t>
  </si>
  <si>
    <t>ANIRUDH</t>
  </si>
  <si>
    <t>ASHBIN SANTHOSH</t>
  </si>
  <si>
    <t>ASHISH SUDHEER</t>
  </si>
  <si>
    <t>ASHWIN THAMBAN K V</t>
  </si>
  <si>
    <t>EDWIN NADAKKALAN</t>
  </si>
  <si>
    <t>HARIDEEP</t>
  </si>
  <si>
    <t>KRISHNA KUMAR</t>
  </si>
  <si>
    <t>MANUVAL MATHEW</t>
  </si>
  <si>
    <t>NOUBIL MAJID</t>
  </si>
  <si>
    <t>SADATH</t>
  </si>
  <si>
    <t>SIDHARTH A</t>
  </si>
  <si>
    <t>SHANE</t>
  </si>
  <si>
    <t>AKHIL</t>
  </si>
  <si>
    <t>Peyoosh</t>
  </si>
  <si>
    <t>Adeeb</t>
  </si>
  <si>
    <t>Abhishek .S</t>
  </si>
  <si>
    <t>Abhishek VN</t>
  </si>
  <si>
    <t>Adarsh T Biju</t>
  </si>
  <si>
    <t>Adith S Vinod</t>
  </si>
  <si>
    <t>Advaith Ullas</t>
  </si>
  <si>
    <t>Akhil Jose</t>
  </si>
  <si>
    <t>Anandu K</t>
  </si>
  <si>
    <t>Devadath Uday P.K</t>
  </si>
  <si>
    <t>Haridevan.v</t>
  </si>
  <si>
    <t>Rohith SANTHOSH</t>
  </si>
  <si>
    <t>Ismail V.J</t>
  </si>
  <si>
    <t>Josphin Devassy</t>
  </si>
  <si>
    <t>Jyothis Krishna A.K</t>
  </si>
  <si>
    <t>Mohammed Irfan M</t>
  </si>
  <si>
    <t xml:space="preserve">Muhammed Shafad </t>
  </si>
  <si>
    <t>Muhmmed Sinan</t>
  </si>
  <si>
    <t>Parthan G</t>
  </si>
  <si>
    <t>Pranav Assissi</t>
  </si>
  <si>
    <t>Pranav B Mandakath</t>
  </si>
  <si>
    <t>Pranav P P</t>
  </si>
  <si>
    <t>Sivaram Jayagopal</t>
  </si>
  <si>
    <t>Vignesh S</t>
  </si>
  <si>
    <t>Yadhukrishna M A</t>
  </si>
  <si>
    <t>MS ATHULJITH</t>
  </si>
  <si>
    <t>CHRIS MATHEW</t>
  </si>
  <si>
    <t>ADITHYAN P</t>
  </si>
  <si>
    <t>ABHIRAMAN SS NAIR</t>
  </si>
  <si>
    <t>FARVEES</t>
  </si>
  <si>
    <t>Devanaarayan</t>
  </si>
  <si>
    <t>NIHAL K C MAHESH</t>
  </si>
  <si>
    <t>DEEPAK K</t>
  </si>
  <si>
    <t>Mihir A K</t>
  </si>
  <si>
    <t>Navaneeth A</t>
  </si>
  <si>
    <t>VISHNU R SURESH</t>
  </si>
  <si>
    <t>Nabeel ahamed kp</t>
  </si>
  <si>
    <t>Arjun m</t>
  </si>
  <si>
    <t>SHYAM LAL N</t>
  </si>
  <si>
    <t>Vyshnav K M</t>
  </si>
  <si>
    <t>AKSHAY JOJO</t>
  </si>
  <si>
    <t>Sinoj</t>
  </si>
  <si>
    <t>ABHISHEK U S</t>
  </si>
  <si>
    <t>APPLIED ECONOMICS</t>
  </si>
  <si>
    <t>MOHAMMAD ESHAQUE</t>
  </si>
  <si>
    <t>S BHANULAL</t>
  </si>
  <si>
    <t xml:space="preserve">Aryan U S </t>
  </si>
  <si>
    <t xml:space="preserve">Applied Economics </t>
  </si>
  <si>
    <t>AJAY S</t>
  </si>
  <si>
    <t>DCS</t>
  </si>
  <si>
    <t>Nandakishore V J</t>
  </si>
  <si>
    <t>Prajul P</t>
  </si>
  <si>
    <t>BASIL SAM</t>
  </si>
  <si>
    <t>GS Navajith</t>
  </si>
  <si>
    <t>AADITHYA SHANKAR</t>
  </si>
  <si>
    <t>SREERAM P</t>
  </si>
  <si>
    <t>ABHINAV K G</t>
  </si>
  <si>
    <t>SHABEER MOHAMMED</t>
  </si>
  <si>
    <t>RABEAH BASHEER</t>
  </si>
  <si>
    <t>THEJUS S</t>
  </si>
  <si>
    <t>JEEVAN DAS</t>
  </si>
  <si>
    <t>Nandakishor</t>
  </si>
  <si>
    <t>Dep of Atmospheric Science</t>
  </si>
  <si>
    <t>PRASHOB A M</t>
  </si>
  <si>
    <t>DEPARTMENT OF ATMOSPHERIC SCIENCE</t>
  </si>
  <si>
    <t>ARJUN T</t>
  </si>
  <si>
    <t>RIJIN RAMAKRISHNAN</t>
  </si>
  <si>
    <t>DEPARTMENT OF CHEMICAL OCEANOGRAPHY</t>
  </si>
  <si>
    <t>VIJAY UNNI A</t>
  </si>
  <si>
    <t>DEPARTMENT OF HINDI</t>
  </si>
  <si>
    <t>SOURAV P</t>
  </si>
  <si>
    <t>DEPARTMENT OF MARINE GEOPHYSICS AND GEOLOGY</t>
  </si>
  <si>
    <t>HAMID T</t>
  </si>
  <si>
    <t>DEPARTMENT OF PHYSICAL OCEANOGRAPHY</t>
  </si>
  <si>
    <t>RAHUL KRISHNA R</t>
  </si>
  <si>
    <t>DEPARTMENT OF STATISTICS</t>
  </si>
  <si>
    <t>S Krishnajith</t>
  </si>
  <si>
    <t>ICREP</t>
  </si>
  <si>
    <t>Jagath Ajithkumar</t>
  </si>
  <si>
    <t>GALZAN SHA</t>
  </si>
  <si>
    <t>YADHUKRISHNA</t>
  </si>
  <si>
    <t>VAISHNAV P</t>
  </si>
  <si>
    <t>IMSC MATHEMATICS</t>
  </si>
  <si>
    <t xml:space="preserve">Aswin Vakkayil </t>
  </si>
  <si>
    <t xml:space="preserve">Msc Maths </t>
  </si>
  <si>
    <t>Abhinav kv</t>
  </si>
  <si>
    <t>Physical oceanography</t>
  </si>
  <si>
    <t>SHYAM PRAKASH</t>
  </si>
  <si>
    <t>PHYSICAL OCEANOGRAPHY</t>
  </si>
  <si>
    <t>ALBIN GEORGE</t>
  </si>
  <si>
    <t>SMS</t>
  </si>
  <si>
    <t>ASWIN GIREESH K</t>
  </si>
  <si>
    <t>DENNY JOY JOHN</t>
  </si>
  <si>
    <t>THANVEER ALI</t>
  </si>
  <si>
    <t>AJAY R KRISHNAN</t>
  </si>
  <si>
    <t>AMAL A</t>
  </si>
  <si>
    <t>ATHUL S KRISHNA</t>
  </si>
  <si>
    <t>ABHIJITH NARAYAN</t>
  </si>
  <si>
    <t>CHRISTO THOMAS</t>
  </si>
  <si>
    <t>ASWIN S A</t>
  </si>
  <si>
    <t>Vaisakh V</t>
  </si>
  <si>
    <t>Pranesh T S</t>
  </si>
  <si>
    <t>G Sai Prasad</t>
  </si>
  <si>
    <t>Devadeth Sathyan</t>
  </si>
  <si>
    <t>VIJAYAKRISHNAN K</t>
  </si>
  <si>
    <t>Abhiroop P</t>
  </si>
  <si>
    <t>Krishnahari S</t>
  </si>
  <si>
    <t>Aswin Thomas Bony</t>
  </si>
  <si>
    <t>Muhammed Jesin S</t>
  </si>
  <si>
    <t>Adonis J Kalloly</t>
  </si>
  <si>
    <t>Bichu C Abraham</t>
  </si>
  <si>
    <t>AFTHAB SHAJAHAN</t>
  </si>
  <si>
    <t>DEVADARSHAN PS</t>
  </si>
  <si>
    <t>UNNI R</t>
  </si>
  <si>
    <t>Ben David</t>
  </si>
  <si>
    <t>Fahim M Shuaib</t>
  </si>
  <si>
    <t>JUBIN MATHEW</t>
  </si>
  <si>
    <t>SHAMIL BACKER</t>
  </si>
  <si>
    <t>Abhishek M</t>
  </si>
  <si>
    <t>Abin Joseph</t>
  </si>
  <si>
    <t>P MADHAV CHANDRAN</t>
  </si>
  <si>
    <t>ANJO SHAJU</t>
  </si>
  <si>
    <t>ADITHYAN N J</t>
  </si>
  <si>
    <t>ABHIJITH BABU</t>
  </si>
  <si>
    <t>Anshad M</t>
  </si>
  <si>
    <t xml:space="preserve">SMS </t>
  </si>
  <si>
    <t>R Rahul Dev</t>
  </si>
  <si>
    <t xml:space="preserve">Rohan k George </t>
  </si>
  <si>
    <t>Amjad</t>
  </si>
  <si>
    <t xml:space="preserve">Ananth Ram </t>
  </si>
  <si>
    <t>maths</t>
  </si>
  <si>
    <t>Athul Narayanan</t>
  </si>
  <si>
    <t>Bijeesh Babu</t>
  </si>
  <si>
    <t>sms</t>
  </si>
  <si>
    <t xml:space="preserve">AISWARYAKRISHNAN </t>
  </si>
  <si>
    <t>MUHAMMED ADNAN KP</t>
  </si>
  <si>
    <t>MATHEMATICS</t>
  </si>
  <si>
    <t>ALEX</t>
  </si>
  <si>
    <t>RIDHUL</t>
  </si>
  <si>
    <t>GUEST</t>
  </si>
  <si>
    <t>EXTRAS</t>
  </si>
  <si>
    <t>ALAN P SUNIL</t>
  </si>
  <si>
    <t>CIVIL</t>
  </si>
  <si>
    <t>RAYID MUHAMMED</t>
  </si>
  <si>
    <t>ADWAITH M</t>
  </si>
  <si>
    <t>FAHADH MOHAMMED M K</t>
  </si>
  <si>
    <t>MECH</t>
  </si>
  <si>
    <t>MUHAMMED RAZAL</t>
  </si>
  <si>
    <t xml:space="preserve">Sivaprasad </t>
  </si>
  <si>
    <t>Gautham sathosh ce</t>
  </si>
  <si>
    <t>HEFI RAHMAN</t>
  </si>
  <si>
    <t xml:space="preserve">MOHAMMED SHAN K K </t>
  </si>
  <si>
    <t>Vaibhav</t>
  </si>
  <si>
    <t>KRISHNAJITH</t>
  </si>
  <si>
    <t>RADHIN</t>
  </si>
  <si>
    <t>MUHAMMED RIZWAN</t>
  </si>
  <si>
    <t>sravan</t>
  </si>
  <si>
    <t>CS</t>
  </si>
  <si>
    <t xml:space="preserve">ADITH CHANDRAN A </t>
  </si>
  <si>
    <t xml:space="preserve">Akhil A Anand </t>
  </si>
  <si>
    <t xml:space="preserve">JIJIN SREEDHAR </t>
  </si>
  <si>
    <t>NANDU KRISHNA</t>
  </si>
  <si>
    <t>JAWAD ALI K K</t>
  </si>
  <si>
    <t>VIVEK V JOSEPH</t>
  </si>
  <si>
    <t>RAYHAN K N</t>
  </si>
  <si>
    <t>SANIN ROSHAN A</t>
  </si>
  <si>
    <t xml:space="preserve">Sebin Thomas </t>
  </si>
  <si>
    <t>HARINANDAN</t>
  </si>
  <si>
    <t>Sebin Babu P</t>
  </si>
  <si>
    <t>RHITHUJITH</t>
  </si>
  <si>
    <t>Vishnu mk</t>
  </si>
  <si>
    <t>CSE</t>
  </si>
  <si>
    <t xml:space="preserve">Vishnu PM </t>
  </si>
  <si>
    <t>Abhiram S</t>
  </si>
  <si>
    <t>Eldho Alias</t>
  </si>
  <si>
    <t>Gautham P Raj</t>
  </si>
  <si>
    <t>KARAN</t>
  </si>
  <si>
    <t>DDUKK</t>
  </si>
  <si>
    <t>Sayooj</t>
  </si>
  <si>
    <t>SOORAJ S NAIR</t>
  </si>
  <si>
    <t>NANDAKISHOR</t>
  </si>
  <si>
    <t>EC</t>
  </si>
  <si>
    <t>NOEL KURIAN JOHN</t>
  </si>
  <si>
    <t xml:space="preserve">Muhammed Raihan  </t>
  </si>
  <si>
    <t>Muhsin Ali P</t>
  </si>
  <si>
    <t>NIVIN K</t>
  </si>
  <si>
    <t>LAZ JOEL JOSE</t>
  </si>
  <si>
    <t>Abhiram B</t>
  </si>
  <si>
    <t>ECE</t>
  </si>
  <si>
    <t>Jofel P Jestin</t>
  </si>
  <si>
    <t>SURAJ S</t>
  </si>
  <si>
    <t>Abhijith RS</t>
  </si>
  <si>
    <t xml:space="preserve">Niranjan k r </t>
  </si>
  <si>
    <t>Rishabadev P</t>
  </si>
  <si>
    <t>Dhanush D</t>
  </si>
  <si>
    <t>EEE</t>
  </si>
  <si>
    <t>Drikshadh P Ramesh</t>
  </si>
  <si>
    <t>Jagannath.M.K</t>
  </si>
  <si>
    <t>MOHAMMED HASHIR</t>
  </si>
  <si>
    <t>MOHAMMED NABIL P</t>
  </si>
  <si>
    <t>Joshua Kurian Nebu</t>
  </si>
  <si>
    <t>Agraj</t>
  </si>
  <si>
    <t xml:space="preserve">Alen Varghese </t>
  </si>
  <si>
    <t>CHRISTY JAY VARGHEESE</t>
  </si>
  <si>
    <t xml:space="preserve">Gouthamkrishnan </t>
  </si>
  <si>
    <t xml:space="preserve">Vinayak A </t>
  </si>
  <si>
    <t>IJAS</t>
  </si>
  <si>
    <t>JERIN JACOB</t>
  </si>
  <si>
    <t>Aravind Krishna V</t>
  </si>
  <si>
    <t xml:space="preserve">EEE </t>
  </si>
  <si>
    <t xml:space="preserve">Amal Krishna LK </t>
  </si>
  <si>
    <t xml:space="preserve">Instrumentation </t>
  </si>
  <si>
    <t>ANANDHU KRISHNA AS</t>
  </si>
  <si>
    <t>IT</t>
  </si>
  <si>
    <t>Adhit J</t>
  </si>
  <si>
    <t>Akshay Sunil</t>
  </si>
  <si>
    <t>Alan r stalin</t>
  </si>
  <si>
    <t>Amal shanto</t>
  </si>
  <si>
    <t>Arjun A</t>
  </si>
  <si>
    <t xml:space="preserve">Joyal Johny </t>
  </si>
  <si>
    <t>Shahab Ahamed</t>
  </si>
  <si>
    <t xml:space="preserve">Vaishnav KV </t>
  </si>
  <si>
    <t xml:space="preserve">Alan Geo Kurian </t>
  </si>
  <si>
    <t>ADIL ABDULLA</t>
  </si>
  <si>
    <t>Anupam Vijay</t>
  </si>
  <si>
    <t>Hridhik A D</t>
  </si>
  <si>
    <t>Karthik C K</t>
  </si>
  <si>
    <t xml:space="preserve">Omkar Deepak </t>
  </si>
  <si>
    <t xml:space="preserve">Pradeesh Pradeep </t>
  </si>
  <si>
    <t>SIDDHARTH K P</t>
  </si>
  <si>
    <t>M A GERVASIS</t>
  </si>
  <si>
    <t>MUHAMMED SHUHAL</t>
  </si>
  <si>
    <t>TEJAS K</t>
  </si>
  <si>
    <t>MIDHUN P M</t>
  </si>
  <si>
    <t xml:space="preserve">Abhinav K </t>
  </si>
  <si>
    <t>Abhiram TP</t>
  </si>
  <si>
    <t>Amjad irfan</t>
  </si>
  <si>
    <t>Mohamed Midlaj k k</t>
  </si>
  <si>
    <t>Nikhil Jose</t>
  </si>
  <si>
    <t>Nikhil s</t>
  </si>
  <si>
    <t>Naveen S</t>
  </si>
  <si>
    <t>Adarsh S Babu</t>
  </si>
  <si>
    <t xml:space="preserve">Rinu Reji </t>
  </si>
  <si>
    <t>Rujul N Ravi</t>
  </si>
  <si>
    <t>A S ASWANTH</t>
  </si>
  <si>
    <t>Abhinav Krishna p</t>
  </si>
  <si>
    <t>Adithya Prasad D</t>
  </si>
  <si>
    <t>ADWIN CJ</t>
  </si>
  <si>
    <t>Aibel Joy</t>
  </si>
  <si>
    <t>Ashfaque M</t>
  </si>
  <si>
    <t>Aymen moosa</t>
  </si>
  <si>
    <t>gokul krishna</t>
  </si>
  <si>
    <t xml:space="preserve">                              </t>
  </si>
  <si>
    <t>Jayadev J A</t>
  </si>
  <si>
    <t xml:space="preserve">Joseph Kurian V S </t>
  </si>
  <si>
    <t xml:space="preserve">Kalidasan </t>
  </si>
  <si>
    <t xml:space="preserve">Nayan madhav R </t>
  </si>
  <si>
    <t>N MUHAMMAD MUBARAK</t>
  </si>
  <si>
    <t xml:space="preserve"> Joseph Raphy</t>
  </si>
  <si>
    <t xml:space="preserve">MUHAMMED SHAN </t>
  </si>
  <si>
    <t>FAHEEM</t>
  </si>
  <si>
    <t>AASISH D VINOD</t>
  </si>
  <si>
    <t>ARAVIND RAJ K R</t>
  </si>
  <si>
    <t>SHAKIR</t>
  </si>
  <si>
    <t xml:space="preserve">Ameen Mansoor M </t>
  </si>
  <si>
    <t xml:space="preserve">Msc </t>
  </si>
  <si>
    <t>ANTONY DAVIS</t>
  </si>
  <si>
    <t>MSC ELECTRONICS</t>
  </si>
  <si>
    <t>Vipin V</t>
  </si>
  <si>
    <t>MVOC</t>
  </si>
  <si>
    <t xml:space="preserve">Adeeb rahman </t>
  </si>
  <si>
    <t xml:space="preserve">School of environmental studies </t>
  </si>
  <si>
    <t>Akshay M E</t>
  </si>
  <si>
    <t>SF</t>
  </si>
  <si>
    <t>ABHINAV K</t>
  </si>
  <si>
    <t>SANKARANARAYANAN P M</t>
  </si>
  <si>
    <t>DEVANANDH K</t>
  </si>
  <si>
    <t>Adithyan Sai N.S</t>
  </si>
  <si>
    <t>RISHIN RAJESH</t>
  </si>
  <si>
    <t>MOHAMMED NAJAH M</t>
  </si>
  <si>
    <t>Athul E A</t>
  </si>
  <si>
    <t>SFE</t>
  </si>
  <si>
    <t>GAUTHAM KRISHNA VS</t>
  </si>
  <si>
    <t>Ameen Ahsan</t>
  </si>
  <si>
    <t>ARAVIND M NATH</t>
  </si>
  <si>
    <t>AKSHYA RAJ JS</t>
  </si>
  <si>
    <t>DEVANADH</t>
  </si>
  <si>
    <t>SIDDHARTH A</t>
  </si>
  <si>
    <t>JOHN  JOSPEH</t>
  </si>
  <si>
    <t>ADITHYAN C</t>
  </si>
  <si>
    <t>FUHAD</t>
  </si>
  <si>
    <t>AADITH R</t>
  </si>
  <si>
    <t>SAFDAR JALEEL</t>
  </si>
  <si>
    <t>NEERAJ M S</t>
  </si>
  <si>
    <t>ADARSH P S</t>
  </si>
  <si>
    <t xml:space="preserve">ABHISHEK </t>
  </si>
  <si>
    <t>Nihaan k</t>
  </si>
  <si>
    <t>Fahim farook</t>
  </si>
  <si>
    <t>Cse</t>
  </si>
  <si>
    <t>Vishnuraj V m</t>
  </si>
  <si>
    <t>Abhin s</t>
  </si>
  <si>
    <t>Abhay Anil</t>
  </si>
  <si>
    <t>Mech</t>
  </si>
  <si>
    <t>Binyamin</t>
  </si>
  <si>
    <t>Nufaih</t>
  </si>
  <si>
    <t>michael sijo</t>
  </si>
  <si>
    <t>safety</t>
  </si>
  <si>
    <t>Manav p</t>
  </si>
  <si>
    <t>cse</t>
  </si>
  <si>
    <t>Misab</t>
  </si>
  <si>
    <t>ece</t>
  </si>
  <si>
    <t>Nafil</t>
  </si>
  <si>
    <t>muhammed Shad</t>
  </si>
  <si>
    <t>Adhil Muhammed</t>
  </si>
  <si>
    <t>Adarsh Anish</t>
  </si>
  <si>
    <t>Dev Prajith</t>
  </si>
  <si>
    <t>lm</t>
  </si>
  <si>
    <t>devarashan</t>
  </si>
  <si>
    <t>anjo shaju</t>
  </si>
  <si>
    <t>karan</t>
  </si>
  <si>
    <t>nabeel</t>
  </si>
  <si>
    <t>misab</t>
  </si>
  <si>
    <t>basil</t>
  </si>
  <si>
    <t>abhishek us</t>
  </si>
  <si>
    <t>rohan k</t>
  </si>
  <si>
    <t>anadharam</t>
  </si>
  <si>
    <t>ajay</t>
  </si>
  <si>
    <t>nandakishor</t>
  </si>
  <si>
    <t>rahul dev</t>
  </si>
  <si>
    <t>sinoj</t>
  </si>
  <si>
    <t>ashish</t>
  </si>
  <si>
    <t>amjad(mech)</t>
  </si>
  <si>
    <t>amal a</t>
  </si>
  <si>
    <t>unni r</t>
  </si>
  <si>
    <t>sayooj p</t>
  </si>
  <si>
    <t>shyam prakash</t>
  </si>
  <si>
    <t>prashob</t>
  </si>
  <si>
    <t>anshad</t>
  </si>
  <si>
    <t>krishnahari</t>
  </si>
  <si>
    <t>amjad(dcs)</t>
  </si>
  <si>
    <t>shahab ahmmed</t>
  </si>
  <si>
    <t>muhsin ali</t>
  </si>
  <si>
    <t>bendavid</t>
  </si>
  <si>
    <t>mu shan</t>
  </si>
  <si>
    <t xml:space="preserve">rayid </t>
  </si>
  <si>
    <t>adonis j</t>
  </si>
  <si>
    <t>joseph(mech)</t>
  </si>
  <si>
    <t>binyamin</t>
  </si>
  <si>
    <t>aswin sa</t>
  </si>
  <si>
    <t>rishin ragesh</t>
  </si>
  <si>
    <t>thanver ali</t>
  </si>
  <si>
    <t>joyel jhony</t>
  </si>
  <si>
    <t>nufaih</t>
  </si>
  <si>
    <t>adeeb rahman</t>
  </si>
  <si>
    <t>christo thomas</t>
  </si>
  <si>
    <t>mu rizwan</t>
  </si>
  <si>
    <t>rasal</t>
  </si>
  <si>
    <t>denny jhony</t>
  </si>
  <si>
    <t>sourav p</t>
  </si>
  <si>
    <t>vijay unni</t>
  </si>
  <si>
    <t>abijith babu</t>
  </si>
  <si>
    <t>abhiroop</t>
  </si>
  <si>
    <t>shamil becker</t>
  </si>
  <si>
    <t>aswin girish</t>
  </si>
  <si>
    <t>aasish d vinod</t>
  </si>
  <si>
    <t>rabeeh</t>
  </si>
  <si>
    <t>vijay krishnan</t>
  </si>
  <si>
    <t>abhinav kv</t>
  </si>
  <si>
    <t>aryan us</t>
  </si>
  <si>
    <t xml:space="preserve">devdath sathyan </t>
  </si>
  <si>
    <t>akshay jojop</t>
  </si>
  <si>
    <t>aswin bony</t>
  </si>
  <si>
    <t>adith cse</t>
  </si>
  <si>
    <t>hamid</t>
  </si>
  <si>
    <t>praneesh</t>
  </si>
  <si>
    <t>arjun m</t>
  </si>
  <si>
    <t>vaishnav dst</t>
  </si>
  <si>
    <t>vaishnav p imsc</t>
  </si>
  <si>
    <t xml:space="preserve">krishnajith civil </t>
  </si>
  <si>
    <t>aswin vakkayil</t>
  </si>
  <si>
    <t>navajityh</t>
  </si>
  <si>
    <t>vipin banulal</t>
  </si>
  <si>
    <t>gautham santhosh</t>
  </si>
  <si>
    <t xml:space="preserve"> raihan cse</t>
  </si>
  <si>
    <t>abhinav k sf</t>
  </si>
  <si>
    <t>jeevan das</t>
  </si>
  <si>
    <t>adithyan sai</t>
  </si>
  <si>
    <t>galzan sha</t>
  </si>
  <si>
    <t>rijin</t>
  </si>
  <si>
    <t>atul s krishna</t>
  </si>
  <si>
    <t>abhijith mba</t>
  </si>
  <si>
    <t>radhin</t>
  </si>
  <si>
    <t>sooraj s dst</t>
  </si>
  <si>
    <t>najah</t>
  </si>
  <si>
    <t>krishnajith icrep</t>
  </si>
  <si>
    <t>adinan</t>
  </si>
  <si>
    <t>jesin</t>
  </si>
  <si>
    <t>amal krishna</t>
  </si>
  <si>
    <t>fahad</t>
  </si>
  <si>
    <t>abhishek m</t>
  </si>
  <si>
    <t>aravind raj</t>
  </si>
  <si>
    <t>gokul</t>
  </si>
  <si>
    <t xml:space="preserve">aswanth </t>
  </si>
  <si>
    <t>vishnu raj</t>
  </si>
  <si>
    <t>adithya prasad</t>
  </si>
  <si>
    <t>adwin</t>
  </si>
  <si>
    <t>hefi rahman</t>
  </si>
  <si>
    <t>naveen</t>
  </si>
  <si>
    <t>faheeb</t>
  </si>
  <si>
    <t>ohmkar</t>
  </si>
  <si>
    <t>prince thomas</t>
  </si>
  <si>
    <t>nived</t>
  </si>
  <si>
    <t>fahim</t>
  </si>
  <si>
    <t>fahim(it)</t>
  </si>
  <si>
    <t xml:space="preserve">hashir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</si>
</sst>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_ ;_ * \-#,##0_ ;_ * &quot;-&quot;??_ ;_ @_ "/>
    <numFmt numFmtId="165" formatCode="_ * #,##0.00_ ;_ * \-#,##0.00_ ;_ * &quot;-&quot;??_ ;_ @_ "/>
  </numFmts>
  <fonts count="18">
    <font>
      <sz val="10.0"/>
      <color rgb="FF000000"/>
      <name val="Arial"/>
      <scheme val="minor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3F3F3F"/>
      <name val="Arial"/>
    </font>
    <font>
      <b/>
      <sz val="11.0"/>
      <color theme="1"/>
      <name val="Arial"/>
    </font>
    <font>
      <b/>
      <sz val="10.0"/>
      <color rgb="FF000000"/>
      <name val="Arial"/>
    </font>
    <font>
      <b/>
      <u/>
      <sz val="11.0"/>
      <color rgb="FF3F3F3F"/>
      <name val="Arial"/>
    </font>
    <font>
      <b/>
      <sz val="14.0"/>
      <color theme="1"/>
      <name val="Arial"/>
    </font>
    <font>
      <b/>
      <sz val="14.0"/>
      <color rgb="FF000000"/>
      <name val="Arial"/>
    </font>
    <font>
      <b/>
      <sz val="14.0"/>
      <color rgb="FF3F3F3F"/>
      <name val="Arial"/>
    </font>
    <font>
      <b/>
      <sz val="16.0"/>
      <color rgb="FF000000"/>
      <name val="Arial"/>
    </font>
    <font>
      <b/>
      <sz val="16.0"/>
      <color rgb="FF3F3F3F"/>
      <name val="Arial"/>
    </font>
    <font>
      <b/>
      <sz val="16.0"/>
      <color theme="1"/>
      <name val="Arial"/>
    </font>
    <font>
      <b/>
      <u/>
      <sz val="11.0"/>
      <color rgb="FF3F3F3F"/>
      <name val="Arial"/>
    </font>
    <font>
      <sz val="10.0"/>
      <color theme="1"/>
      <name val="Arial"/>
    </font>
    <font>
      <b/>
      <sz val="10.0"/>
      <color rgb="FF3F3F3F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84CAEB"/>
        <bgColor rgb="FF84CAEB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2" fontId="4" numFmtId="0" xfId="0" applyAlignment="1" applyBorder="1" applyFill="1" applyFont="1">
      <alignment vertical="bottom"/>
    </xf>
    <xf borderId="1" fillId="2" fontId="4" numFmtId="0" xfId="0" applyAlignment="1" applyBorder="1" applyFont="1">
      <alignment horizontal="right" vertical="bottom"/>
    </xf>
    <xf borderId="0" fillId="0" fontId="5" numFmtId="0" xfId="0" applyAlignment="1" applyFont="1">
      <alignment vertical="center"/>
    </xf>
    <xf borderId="1" fillId="2" fontId="4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vertical="bottom"/>
    </xf>
    <xf borderId="2" fillId="2" fontId="7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3" fillId="0" fontId="8" numFmtId="0" xfId="0" applyAlignment="1" applyBorder="1" applyFont="1">
      <alignment horizontal="center" vertical="center"/>
    </xf>
    <xf borderId="3" fillId="0" fontId="9" numFmtId="1" xfId="0" applyAlignment="1" applyBorder="1" applyFont="1" applyNumberFormat="1">
      <alignment vertical="center"/>
    </xf>
    <xf borderId="3" fillId="0" fontId="9" numFmtId="0" xfId="0" applyAlignment="1" applyBorder="1" applyFont="1">
      <alignment horizontal="center" vertical="center"/>
    </xf>
    <xf borderId="4" fillId="2" fontId="10" numFmtId="0" xfId="0" applyAlignment="1" applyBorder="1" applyFont="1">
      <alignment vertical="center"/>
    </xf>
    <xf borderId="5" fillId="0" fontId="11" numFmtId="0" xfId="0" applyAlignment="1" applyBorder="1" applyFont="1">
      <alignment vertical="bottom"/>
    </xf>
    <xf borderId="1" fillId="3" fontId="11" numFmtId="0" xfId="0" applyAlignment="1" applyBorder="1" applyFill="1" applyFont="1">
      <alignment vertical="bottom"/>
    </xf>
    <xf borderId="1" fillId="0" fontId="11" numFmtId="0" xfId="0" applyAlignment="1" applyBorder="1" applyFont="1">
      <alignment vertical="bottom"/>
    </xf>
    <xf borderId="1" fillId="2" fontId="12" numFmtId="164" xfId="0" applyAlignment="1" applyBorder="1" applyFont="1" applyNumberFormat="1">
      <alignment vertical="bottom"/>
    </xf>
    <xf borderId="1" fillId="2" fontId="12" numFmtId="1" xfId="0" applyAlignment="1" applyBorder="1" applyFont="1" applyNumberFormat="1">
      <alignment vertical="bottom"/>
    </xf>
    <xf borderId="1" fillId="0" fontId="11" numFmtId="0" xfId="0" applyAlignment="1" applyBorder="1" applyFont="1">
      <alignment horizontal="right" vertical="bottom"/>
    </xf>
    <xf borderId="1" fillId="2" fontId="12" numFmtId="2" xfId="0" applyAlignment="1" applyBorder="1" applyFont="1" applyNumberFormat="1">
      <alignment horizontal="right" vertical="bottom"/>
    </xf>
    <xf borderId="1" fillId="0" fontId="13" numFmtId="0" xfId="0" applyAlignment="1" applyBorder="1" applyFont="1">
      <alignment vertical="center"/>
    </xf>
    <xf borderId="6" fillId="3" fontId="12" numFmtId="164" xfId="0" applyAlignment="1" applyBorder="1" applyFont="1" applyNumberFormat="1">
      <alignment vertical="bottom"/>
    </xf>
    <xf borderId="1" fillId="4" fontId="11" numFmtId="0" xfId="0" applyAlignment="1" applyBorder="1" applyFill="1" applyFont="1">
      <alignment vertical="bottom"/>
    </xf>
    <xf borderId="1" fillId="5" fontId="13" numFmtId="0" xfId="0" applyAlignment="1" applyBorder="1" applyFill="1" applyFont="1">
      <alignment vertical="bottom"/>
    </xf>
    <xf borderId="1" fillId="3" fontId="13" numFmtId="0" xfId="0" applyAlignment="1" applyBorder="1" applyFont="1">
      <alignment vertical="center"/>
    </xf>
    <xf borderId="1" fillId="5" fontId="13" numFmtId="0" xfId="0" applyAlignment="1" applyBorder="1" applyFont="1">
      <alignment vertical="center"/>
    </xf>
    <xf borderId="1" fillId="5" fontId="11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6" fontId="13" numFmtId="0" xfId="0" applyAlignment="1" applyBorder="1" applyFill="1" applyFont="1">
      <alignment vertical="bottom"/>
    </xf>
    <xf borderId="7" fillId="0" fontId="13" numFmtId="0" xfId="0" applyAlignment="1" applyBorder="1" applyFont="1">
      <alignment vertical="center"/>
    </xf>
    <xf borderId="8" fillId="2" fontId="12" numFmtId="164" xfId="0" applyAlignment="1" applyBorder="1" applyFont="1" applyNumberFormat="1">
      <alignment vertical="bottom"/>
    </xf>
    <xf borderId="8" fillId="2" fontId="12" numFmtId="1" xfId="0" applyAlignment="1" applyBorder="1" applyFont="1" applyNumberFormat="1">
      <alignment vertical="bottom"/>
    </xf>
    <xf borderId="8" fillId="2" fontId="12" numFmtId="2" xfId="0" applyAlignment="1" applyBorder="1" applyFont="1" applyNumberFormat="1">
      <alignment horizontal="right" vertical="bottom"/>
    </xf>
    <xf borderId="9" fillId="3" fontId="12" numFmtId="164" xfId="0" applyAlignment="1" applyBorder="1" applyFont="1" applyNumberFormat="1">
      <alignment vertical="bottom"/>
    </xf>
    <xf borderId="7" fillId="0" fontId="13" numFmtId="165" xfId="0" applyAlignment="1" applyBorder="1" applyFont="1" applyNumberFormat="1">
      <alignment vertical="center"/>
    </xf>
    <xf borderId="7" fillId="0" fontId="13" numFmtId="2" xfId="0" applyAlignment="1" applyBorder="1" applyFont="1" applyNumberFormat="1">
      <alignment vertical="center"/>
    </xf>
    <xf borderId="7" fillId="0" fontId="13" numFmtId="164" xfId="0" applyAlignment="1" applyBorder="1" applyFont="1" applyNumberFormat="1">
      <alignment vertical="center"/>
    </xf>
    <xf borderId="0" fillId="7" fontId="13" numFmtId="0" xfId="0" applyAlignment="1" applyFill="1" applyFont="1">
      <alignment vertical="center"/>
    </xf>
    <xf borderId="0" fillId="7" fontId="12" numFmtId="0" xfId="0" applyAlignment="1" applyFont="1">
      <alignment vertical="bottom"/>
    </xf>
    <xf borderId="0" fillId="7" fontId="13" numFmtId="2" xfId="0" applyAlignment="1" applyFont="1" applyNumberFormat="1">
      <alignment vertical="center"/>
    </xf>
    <xf borderId="10" fillId="2" fontId="4" numFmtId="0" xfId="0" applyAlignment="1" applyBorder="1" applyFont="1">
      <alignment vertical="bottom"/>
    </xf>
    <xf borderId="11" fillId="2" fontId="4" numFmtId="0" xfId="0" applyAlignment="1" applyBorder="1" applyFont="1">
      <alignment horizontal="right" vertical="bottom"/>
    </xf>
    <xf borderId="12" fillId="2" fontId="4" numFmtId="0" xfId="0" applyAlignment="1" applyBorder="1" applyFont="1">
      <alignment vertical="bottom"/>
    </xf>
    <xf borderId="13" fillId="2" fontId="4" numFmtId="0" xfId="0" applyAlignment="1" applyBorder="1" applyFont="1">
      <alignment vertical="bottom"/>
    </xf>
    <xf borderId="0" fillId="0" fontId="5" numFmtId="1" xfId="0" applyAlignment="1" applyFont="1" applyNumberFormat="1">
      <alignment vertical="center"/>
    </xf>
    <xf borderId="14" fillId="2" fontId="4" numFmtId="0" xfId="0" applyAlignment="1" applyBorder="1" applyFont="1">
      <alignment vertical="bottom"/>
    </xf>
    <xf borderId="6" fillId="2" fontId="4" numFmtId="0" xfId="0" applyAlignment="1" applyBorder="1" applyFont="1">
      <alignment horizontal="right" vertical="bottom"/>
    </xf>
    <xf borderId="6" fillId="2" fontId="4" numFmtId="0" xfId="0" applyAlignment="1" applyBorder="1" applyFont="1">
      <alignment horizontal="right" readingOrder="0" vertical="bottom"/>
    </xf>
    <xf borderId="13" fillId="0" fontId="6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19" fillId="8" fontId="4" numFmtId="0" xfId="0" applyAlignment="1" applyBorder="1" applyFill="1" applyFont="1">
      <alignment vertical="bottom"/>
    </xf>
    <xf borderId="19" fillId="8" fontId="4" numFmtId="0" xfId="0" applyAlignment="1" applyBorder="1" applyFont="1">
      <alignment horizontal="right" vertical="bottom"/>
    </xf>
    <xf borderId="20" fillId="0" fontId="3" numFmtId="0" xfId="0" applyAlignment="1" applyBorder="1" applyFont="1">
      <alignment vertical="bottom"/>
    </xf>
    <xf borderId="1" fillId="4" fontId="14" numFmtId="0" xfId="0" applyAlignment="1" applyBorder="1" applyFont="1">
      <alignment horizontal="center" vertical="top"/>
    </xf>
    <xf borderId="1" fillId="4" fontId="4" numFmtId="0" xfId="0" applyAlignment="1" applyBorder="1" applyFont="1">
      <alignment vertical="top"/>
    </xf>
    <xf borderId="1" fillId="4" fontId="4" numFmtId="0" xfId="0" applyAlignment="1" applyBorder="1" applyFont="1">
      <alignment vertical="bottom"/>
    </xf>
    <xf borderId="19" fillId="4" fontId="4" numFmtId="0" xfId="0" applyAlignment="1" applyBorder="1" applyFont="1">
      <alignment vertical="bottom"/>
    </xf>
    <xf borderId="19" fillId="4" fontId="6" numFmtId="0" xfId="0" applyAlignment="1" applyBorder="1" applyFont="1">
      <alignment horizontal="center" vertical="bottom"/>
    </xf>
    <xf borderId="1" fillId="8" fontId="1" numFmtId="0" xfId="0" applyAlignment="1" applyBorder="1" applyFont="1">
      <alignment vertical="bottom"/>
    </xf>
    <xf borderId="1" fillId="7" fontId="15" numFmtId="0" xfId="0" applyAlignment="1" applyBorder="1" applyFont="1">
      <alignment vertical="bottom"/>
    </xf>
    <xf borderId="1" fillId="8" fontId="1" numFmtId="0" xfId="0" applyAlignment="1" applyBorder="1" applyFont="1">
      <alignment horizontal="right" vertical="bottom"/>
    </xf>
    <xf borderId="1" fillId="8" fontId="16" numFmtId="2" xfId="0" applyAlignment="1" applyBorder="1" applyFont="1" applyNumberFormat="1">
      <alignment horizontal="right" vertical="bottom"/>
    </xf>
    <xf borderId="1" fillId="8" fontId="1" numFmtId="1" xfId="0" applyAlignment="1" applyBorder="1" applyFont="1" applyNumberFormat="1">
      <alignment vertical="bottom"/>
    </xf>
    <xf borderId="1" fillId="7" fontId="1" numFmtId="0" xfId="0" applyAlignment="1" applyBorder="1" applyFont="1">
      <alignment vertical="bottom"/>
    </xf>
    <xf borderId="21" fillId="8" fontId="1" numFmtId="0" xfId="0" applyAlignment="1" applyBorder="1" applyFont="1">
      <alignment vertical="bottom"/>
    </xf>
    <xf borderId="0" fillId="0" fontId="17" numFmtId="0" xfId="0" applyAlignment="1" applyFont="1">
      <alignment vertical="center"/>
    </xf>
    <xf borderId="1" fillId="8" fontId="15" numFmtId="0" xfId="0" applyAlignment="1" applyBorder="1" applyFont="1">
      <alignment vertical="center"/>
    </xf>
    <xf borderId="1" fillId="8" fontId="15" numFmtId="1" xfId="0" applyAlignment="1" applyBorder="1" applyFont="1" applyNumberFormat="1">
      <alignment vertical="center"/>
    </xf>
    <xf borderId="1" fillId="8" fontId="16" numFmtId="2" xfId="0" applyAlignment="1" applyBorder="1" applyFont="1" applyNumberFormat="1">
      <alignment vertical="center"/>
    </xf>
    <xf borderId="8" fillId="7" fontId="15" numFmtId="0" xfId="0" applyAlignment="1" applyBorder="1" applyFont="1">
      <alignment vertical="bottom"/>
    </xf>
    <xf borderId="8" fillId="8" fontId="15" numFmtId="0" xfId="0" applyAlignment="1" applyBorder="1" applyFont="1">
      <alignment vertical="center"/>
    </xf>
    <xf borderId="8" fillId="8" fontId="16" numFmtId="2" xfId="0" applyAlignment="1" applyBorder="1" applyFont="1" applyNumberFormat="1">
      <alignment vertical="center"/>
    </xf>
    <xf borderId="8" fillId="8" fontId="15" numFmtId="1" xfId="0" applyAlignment="1" applyBorder="1" applyFont="1" applyNumberFormat="1">
      <alignment vertical="center"/>
    </xf>
    <xf borderId="18" fillId="0" fontId="15" numFmtId="0" xfId="0" applyAlignment="1" applyBorder="1" applyFont="1">
      <alignment vertical="center"/>
    </xf>
    <xf borderId="0" fillId="8" fontId="1" numFmtId="0" xfId="0" applyAlignment="1" applyFont="1">
      <alignment vertical="bottom"/>
    </xf>
    <xf borderId="0" fillId="7" fontId="15" numFmtId="0" xfId="0" applyAlignment="1" applyFont="1">
      <alignment vertical="bottom"/>
    </xf>
    <xf borderId="0" fillId="8" fontId="15" numFmtId="0" xfId="0" applyAlignment="1" applyFont="1">
      <alignment vertical="center"/>
    </xf>
    <xf borderId="0" fillId="8" fontId="16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16:M154" displayName="Table_1" name="Table_1" id="1">
  <tableColumns count="11">
    <tableColumn name="SL.NO" id="1"/>
    <tableColumn name="NAME" id="2"/>
    <tableColumn name="DEPARTMENT" id="3"/>
    <tableColumn name="EST" id="4"/>
    <tableColumn name="TOTAL AMOUNT" id="5"/>
    <tableColumn name="TOTAL DAYS" id="6"/>
    <tableColumn name="MESSCUT" id="7"/>
    <tableColumn name="EFFECTIVE DAYS" id="8"/>
    <tableColumn name="EXTRAS&amp;GUEST" id="9"/>
    <tableColumn name="LATE MESS" id="10"/>
    <tableColumn name="FINAL" id="1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D14:N167" displayName="Table_2" name="Table_2" id="2">
  <tableColumns count="11">
    <tableColumn name="SL.NO" id="1"/>
    <tableColumn name="NAME" id="2"/>
    <tableColumn name="DEPARTMENT" id="3"/>
    <tableColumn name="EST" id="4"/>
    <tableColumn name="TOTAL DAYS" id="5"/>
    <tableColumn name="MESSCUT" id="6"/>
    <tableColumn name="EFFECTIVE DAYS" id="7"/>
    <tableColumn name="GUEST" id="8"/>
    <tableColumn name="LATE MESS" id="9"/>
    <tableColumn name="EXTRAS" id="10"/>
    <tableColumn name="FINAL" id="11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9.25"/>
    <col customWidth="1" min="4" max="4" width="36.25"/>
    <col customWidth="1" min="5" max="5" width="86.63"/>
    <col customWidth="1" min="6" max="6" width="21.88"/>
    <col customWidth="1" min="7" max="7" width="22.5"/>
    <col customWidth="1" min="8" max="8" width="17.88"/>
    <col customWidth="1" min="9" max="9" width="13.88"/>
    <col customWidth="1" min="10" max="10" width="23.25"/>
    <col customWidth="1" min="11" max="11" width="22.75"/>
    <col customWidth="1" min="12" max="12" width="15.88"/>
    <col customWidth="1" min="13" max="13" width="15.0"/>
    <col customWidth="1" min="14" max="14" width="14.38"/>
    <col customWidth="1" min="15" max="15" width="25.13"/>
    <col customWidth="1" min="16" max="21" width="14.38"/>
    <col customWidth="1" min="22" max="26" width="12.0"/>
  </cols>
  <sheetData>
    <row r="1" ht="12.75" customHeight="1"/>
    <row r="2" ht="12.75" customHeight="1"/>
    <row r="3" ht="12.75" customHeight="1">
      <c r="E3" s="1"/>
      <c r="F3" s="1"/>
      <c r="G3" s="1"/>
      <c r="I3" s="2"/>
    </row>
    <row r="4" ht="12.75" customHeight="1">
      <c r="F4" s="1"/>
      <c r="G4" s="3"/>
      <c r="H4" s="3"/>
    </row>
    <row r="5" ht="12.75" customHeight="1">
      <c r="E5" s="4"/>
      <c r="F5" s="5" t="s">
        <v>0</v>
      </c>
      <c r="G5" s="6"/>
      <c r="H5" s="6"/>
    </row>
    <row r="6" ht="12.75" customHeight="1">
      <c r="E6" s="7"/>
      <c r="F6" s="5" t="s">
        <v>1</v>
      </c>
      <c r="G6" s="5">
        <v>2025.0</v>
      </c>
      <c r="H6" s="4" t="s">
        <v>2</v>
      </c>
    </row>
    <row r="7" ht="12.75" customHeight="1">
      <c r="E7" s="4"/>
      <c r="F7" s="4"/>
      <c r="G7" s="6"/>
      <c r="H7" s="6"/>
    </row>
    <row r="8" ht="12.75" customHeight="1">
      <c r="E8" s="8" t="s">
        <v>3</v>
      </c>
      <c r="F8" s="9">
        <v>0.0</v>
      </c>
      <c r="G8" s="8" t="s">
        <v>4</v>
      </c>
      <c r="H8" s="8">
        <v>49000.0</v>
      </c>
    </row>
    <row r="9" ht="12.75" customHeight="1">
      <c r="E9" s="8" t="s">
        <v>5</v>
      </c>
      <c r="F9" s="10">
        <f>1750*97</f>
        <v>169750</v>
      </c>
      <c r="G9" s="8" t="s">
        <v>6</v>
      </c>
      <c r="H9" s="8">
        <v>500.0</v>
      </c>
    </row>
    <row r="10" ht="12.75" customHeight="1">
      <c r="E10" s="8" t="s">
        <v>7</v>
      </c>
      <c r="F10" s="9">
        <v>1680.0</v>
      </c>
      <c r="G10" s="8" t="s">
        <v>8</v>
      </c>
      <c r="H10" s="8">
        <v>0.0</v>
      </c>
    </row>
    <row r="11" ht="12.75" customHeight="1">
      <c r="E11" s="8" t="s">
        <v>9</v>
      </c>
      <c r="F11" s="9">
        <v>2000.0</v>
      </c>
      <c r="G11" s="8" t="s">
        <v>10</v>
      </c>
      <c r="H11" s="8">
        <v>15000.0</v>
      </c>
    </row>
    <row r="12" ht="12.75" customHeight="1">
      <c r="E12" s="8" t="s">
        <v>11</v>
      </c>
      <c r="F12" s="11">
        <v>89.0</v>
      </c>
      <c r="G12" s="8"/>
      <c r="H12" s="8"/>
    </row>
    <row r="13" ht="12.75" customHeight="1">
      <c r="E13" s="8" t="s">
        <v>12</v>
      </c>
      <c r="F13" s="11">
        <v>400.0</v>
      </c>
      <c r="G13" s="12"/>
      <c r="H13" s="6"/>
    </row>
    <row r="14" ht="12.75" customHeight="1">
      <c r="E14" s="8"/>
      <c r="F14" s="9"/>
      <c r="G14" s="6"/>
      <c r="H14" s="6"/>
    </row>
    <row r="15" ht="16.5" customHeight="1">
      <c r="C15" s="1"/>
      <c r="E15" s="1"/>
      <c r="F15" s="1"/>
      <c r="G15" s="1"/>
      <c r="I15" s="2"/>
    </row>
    <row r="16" ht="24.0" customHeight="1">
      <c r="C16" s="13" t="s">
        <v>13</v>
      </c>
      <c r="D16" s="14" t="s">
        <v>14</v>
      </c>
      <c r="E16" s="15" t="s">
        <v>15</v>
      </c>
      <c r="F16" s="15" t="s">
        <v>16</v>
      </c>
      <c r="G16" s="15" t="s">
        <v>17</v>
      </c>
      <c r="H16" s="16" t="s">
        <v>18</v>
      </c>
      <c r="I16" s="17" t="s">
        <v>19</v>
      </c>
      <c r="J16" s="14" t="s">
        <v>20</v>
      </c>
      <c r="K16" s="18" t="s">
        <v>21</v>
      </c>
      <c r="L16" s="18" t="s">
        <v>22</v>
      </c>
      <c r="M16" s="19" t="s">
        <v>23</v>
      </c>
    </row>
    <row r="17" ht="12.75" customHeight="1">
      <c r="C17" s="20">
        <v>1.0</v>
      </c>
      <c r="D17" s="21" t="s">
        <v>24</v>
      </c>
      <c r="E17" s="22" t="s">
        <v>25</v>
      </c>
      <c r="F17" s="23">
        <f t="shared" ref="F17:F151" si="1">$F$13</f>
        <v>400</v>
      </c>
      <c r="G17" s="24">
        <f>J17*$F$12+F17+Sheet1!$K17+Sheet1!$L17</f>
        <v>2527.1</v>
      </c>
      <c r="H17" s="25">
        <v>26.0</v>
      </c>
      <c r="I17" s="22">
        <v>3.0</v>
      </c>
      <c r="J17" s="26">
        <f t="shared" ref="J17:J149" si="2">H17-(I17*0.7)</f>
        <v>23.9</v>
      </c>
      <c r="K17" s="22"/>
      <c r="L17" s="27"/>
      <c r="M17" s="28">
        <f>Sheet1!$F17+$F$12*Sheet1!$J17+Sheet1!$K17+Sheet1!$L17</f>
        <v>2527.1</v>
      </c>
    </row>
    <row r="18" ht="12.75" customHeight="1">
      <c r="C18" s="20">
        <f t="shared" ref="C18:C151" si="3">C17+1</f>
        <v>2</v>
      </c>
      <c r="D18" s="21" t="s">
        <v>26</v>
      </c>
      <c r="E18" s="22" t="s">
        <v>25</v>
      </c>
      <c r="F18" s="23">
        <f t="shared" si="1"/>
        <v>400</v>
      </c>
      <c r="G18" s="24">
        <f>J18*$F$12+F18+Sheet1!$K18+Sheet1!$L18</f>
        <v>2714</v>
      </c>
      <c r="H18" s="25">
        <v>26.0</v>
      </c>
      <c r="I18" s="22"/>
      <c r="J18" s="26">
        <f t="shared" si="2"/>
        <v>26</v>
      </c>
      <c r="K18" s="22"/>
      <c r="L18" s="27"/>
      <c r="M18" s="28">
        <f>Sheet1!$F18+$F$12*Sheet1!$J18+Sheet1!$K18+Sheet1!$L18</f>
        <v>2714</v>
      </c>
    </row>
    <row r="19" ht="12.75" customHeight="1">
      <c r="C19" s="20">
        <f t="shared" si="3"/>
        <v>3</v>
      </c>
      <c r="D19" s="29" t="s">
        <v>27</v>
      </c>
      <c r="E19" s="22" t="s">
        <v>25</v>
      </c>
      <c r="F19" s="23">
        <f t="shared" si="1"/>
        <v>400</v>
      </c>
      <c r="G19" s="24">
        <f>J19*$F$12+F19+Sheet1!$K19+Sheet1!$L19</f>
        <v>2714</v>
      </c>
      <c r="H19" s="25">
        <v>26.0</v>
      </c>
      <c r="I19" s="22"/>
      <c r="J19" s="26">
        <f t="shared" si="2"/>
        <v>26</v>
      </c>
      <c r="K19" s="22"/>
      <c r="L19" s="27"/>
      <c r="M19" s="28">
        <f>Sheet1!$F19+$F$12*Sheet1!$J19+Sheet1!$K19+Sheet1!$L19</f>
        <v>2714</v>
      </c>
    </row>
    <row r="20" ht="12.75" customHeight="1">
      <c r="C20" s="20">
        <f t="shared" si="3"/>
        <v>4</v>
      </c>
      <c r="D20" s="21" t="s">
        <v>28</v>
      </c>
      <c r="E20" s="22" t="s">
        <v>25</v>
      </c>
      <c r="F20" s="23">
        <f t="shared" si="1"/>
        <v>400</v>
      </c>
      <c r="G20" s="24">
        <f>J20*$F$12+F20+Sheet1!$K20+Sheet1!$L20</f>
        <v>2714</v>
      </c>
      <c r="H20" s="25">
        <v>26.0</v>
      </c>
      <c r="I20" s="22"/>
      <c r="J20" s="26">
        <f t="shared" si="2"/>
        <v>26</v>
      </c>
      <c r="K20" s="22"/>
      <c r="L20" s="27"/>
      <c r="M20" s="28">
        <f>Sheet1!$F20+$F$12*Sheet1!$J20+Sheet1!$K20+Sheet1!$L20</f>
        <v>2714</v>
      </c>
    </row>
    <row r="21" ht="12.75" customHeight="1">
      <c r="C21" s="20">
        <f t="shared" si="3"/>
        <v>5</v>
      </c>
      <c r="D21" s="29" t="s">
        <v>29</v>
      </c>
      <c r="E21" s="22" t="s">
        <v>25</v>
      </c>
      <c r="F21" s="23">
        <f t="shared" si="1"/>
        <v>400</v>
      </c>
      <c r="G21" s="24">
        <f>J21*$F$12+F21+Sheet1!$K21+Sheet1!$L21</f>
        <v>2714</v>
      </c>
      <c r="H21" s="25">
        <v>26.0</v>
      </c>
      <c r="I21" s="22"/>
      <c r="J21" s="26">
        <f t="shared" si="2"/>
        <v>26</v>
      </c>
      <c r="K21" s="22"/>
      <c r="L21" s="27"/>
      <c r="M21" s="28">
        <f>Sheet1!$F21+$F$12*Sheet1!$J21+Sheet1!$K21+Sheet1!$L21</f>
        <v>2714</v>
      </c>
    </row>
    <row r="22" ht="12.75" customHeight="1">
      <c r="C22" s="20">
        <f t="shared" si="3"/>
        <v>6</v>
      </c>
      <c r="D22" s="22" t="s">
        <v>30</v>
      </c>
      <c r="E22" s="22" t="s">
        <v>25</v>
      </c>
      <c r="F22" s="23">
        <f t="shared" si="1"/>
        <v>400</v>
      </c>
      <c r="G22" s="24">
        <f>J22*$F$12+F22+Sheet1!$K22+Sheet1!$L22</f>
        <v>2714</v>
      </c>
      <c r="H22" s="25">
        <v>26.0</v>
      </c>
      <c r="I22" s="22"/>
      <c r="J22" s="26">
        <f t="shared" si="2"/>
        <v>26</v>
      </c>
      <c r="K22" s="22"/>
      <c r="L22" s="27"/>
      <c r="M22" s="28">
        <f>Sheet1!$F22+$F$12*Sheet1!$J22+Sheet1!$K22+Sheet1!$L22</f>
        <v>2714</v>
      </c>
    </row>
    <row r="23" ht="12.75" customHeight="1">
      <c r="C23" s="20">
        <f t="shared" si="3"/>
        <v>7</v>
      </c>
      <c r="D23" s="22" t="s">
        <v>31</v>
      </c>
      <c r="E23" s="22" t="s">
        <v>25</v>
      </c>
      <c r="F23" s="23">
        <f t="shared" si="1"/>
        <v>400</v>
      </c>
      <c r="G23" s="24">
        <f>J23*$F$12+F23+Sheet1!$K23+Sheet1!$L23</f>
        <v>2714</v>
      </c>
      <c r="H23" s="25">
        <v>26.0</v>
      </c>
      <c r="I23" s="22"/>
      <c r="J23" s="26">
        <f t="shared" si="2"/>
        <v>26</v>
      </c>
      <c r="K23" s="22"/>
      <c r="L23" s="27"/>
      <c r="M23" s="28">
        <f>Sheet1!$F23+$F$12*Sheet1!$J23+Sheet1!$K23+Sheet1!$L23</f>
        <v>2714</v>
      </c>
    </row>
    <row r="24" ht="12.75" customHeight="1">
      <c r="C24" s="20">
        <f t="shared" si="3"/>
        <v>8</v>
      </c>
      <c r="D24" s="22" t="s">
        <v>32</v>
      </c>
      <c r="E24" s="22" t="s">
        <v>25</v>
      </c>
      <c r="F24" s="23">
        <f t="shared" si="1"/>
        <v>400</v>
      </c>
      <c r="G24" s="24">
        <f>J24*$F$12+F24+Sheet1!$K24+Sheet1!$L24</f>
        <v>2714</v>
      </c>
      <c r="H24" s="25">
        <v>26.0</v>
      </c>
      <c r="I24" s="22"/>
      <c r="J24" s="26">
        <f t="shared" si="2"/>
        <v>26</v>
      </c>
      <c r="K24" s="22"/>
      <c r="L24" s="27"/>
      <c r="M24" s="28">
        <f>Sheet1!$F24+$F$12*Sheet1!$J24+Sheet1!$K24+Sheet1!$L24</f>
        <v>2714</v>
      </c>
    </row>
    <row r="25" ht="12.75" customHeight="1">
      <c r="C25" s="20">
        <f t="shared" si="3"/>
        <v>9</v>
      </c>
      <c r="D25" s="22" t="s">
        <v>33</v>
      </c>
      <c r="E25" s="22" t="s">
        <v>25</v>
      </c>
      <c r="F25" s="23">
        <f t="shared" si="1"/>
        <v>400</v>
      </c>
      <c r="G25" s="24">
        <f>J25*$F$12+F25+Sheet1!$K25+Sheet1!$L25</f>
        <v>2714</v>
      </c>
      <c r="H25" s="25">
        <v>26.0</v>
      </c>
      <c r="I25" s="22"/>
      <c r="J25" s="26">
        <f t="shared" si="2"/>
        <v>26</v>
      </c>
      <c r="K25" s="22"/>
      <c r="L25" s="27"/>
      <c r="M25" s="28">
        <f>Sheet1!$F25+$F$12*Sheet1!$J25+Sheet1!$K25+Sheet1!$L25</f>
        <v>2714</v>
      </c>
    </row>
    <row r="26" ht="12.75" customHeight="1">
      <c r="C26" s="20">
        <f t="shared" si="3"/>
        <v>10</v>
      </c>
      <c r="D26" s="22" t="s">
        <v>34</v>
      </c>
      <c r="E26" s="22" t="s">
        <v>25</v>
      </c>
      <c r="F26" s="23">
        <f t="shared" si="1"/>
        <v>400</v>
      </c>
      <c r="G26" s="24">
        <f>J26*$F$12+F26+Sheet1!$K26+Sheet1!$L26</f>
        <v>2714</v>
      </c>
      <c r="H26" s="25">
        <v>26.0</v>
      </c>
      <c r="I26" s="22"/>
      <c r="J26" s="26">
        <f t="shared" si="2"/>
        <v>26</v>
      </c>
      <c r="K26" s="22"/>
      <c r="L26" s="27"/>
      <c r="M26" s="28">
        <f>Sheet1!$F26+$F$12*Sheet1!$J26+Sheet1!$K26+Sheet1!$L26</f>
        <v>2714</v>
      </c>
    </row>
    <row r="27" ht="12.75" customHeight="1">
      <c r="C27" s="20">
        <f t="shared" si="3"/>
        <v>11</v>
      </c>
      <c r="D27" s="22" t="s">
        <v>35</v>
      </c>
      <c r="E27" s="22" t="s">
        <v>25</v>
      </c>
      <c r="F27" s="23">
        <f t="shared" si="1"/>
        <v>400</v>
      </c>
      <c r="G27" s="24">
        <f>J27*$F$12+F27+Sheet1!$K27+Sheet1!$L27</f>
        <v>2714</v>
      </c>
      <c r="H27" s="25">
        <v>26.0</v>
      </c>
      <c r="I27" s="22"/>
      <c r="J27" s="26">
        <f t="shared" si="2"/>
        <v>26</v>
      </c>
      <c r="K27" s="22"/>
      <c r="L27" s="27"/>
      <c r="M27" s="28">
        <f>Sheet1!$F27+$F$12*Sheet1!$J27+Sheet1!$K27+Sheet1!$L27</f>
        <v>2714</v>
      </c>
    </row>
    <row r="28" ht="12.75" customHeight="1">
      <c r="C28" s="20">
        <f t="shared" si="3"/>
        <v>12</v>
      </c>
      <c r="D28" s="22" t="s">
        <v>36</v>
      </c>
      <c r="E28" s="22" t="s">
        <v>25</v>
      </c>
      <c r="F28" s="23">
        <f t="shared" si="1"/>
        <v>400</v>
      </c>
      <c r="G28" s="24">
        <f>J28*$F$12+F28+Sheet1!$K28+Sheet1!$L28</f>
        <v>2714</v>
      </c>
      <c r="H28" s="25">
        <v>26.0</v>
      </c>
      <c r="I28" s="22"/>
      <c r="J28" s="26">
        <f t="shared" si="2"/>
        <v>26</v>
      </c>
      <c r="K28" s="22"/>
      <c r="L28" s="27"/>
      <c r="M28" s="28">
        <f>Sheet1!$F28+$F$12*Sheet1!$J28+Sheet1!$K28+Sheet1!$L28</f>
        <v>2714</v>
      </c>
    </row>
    <row r="29" ht="12.75" customHeight="1">
      <c r="C29" s="20">
        <f t="shared" si="3"/>
        <v>13</v>
      </c>
      <c r="D29" s="22" t="s">
        <v>37</v>
      </c>
      <c r="E29" s="22" t="s">
        <v>25</v>
      </c>
      <c r="F29" s="23">
        <f t="shared" si="1"/>
        <v>400</v>
      </c>
      <c r="G29" s="24">
        <f>J29*$F$12+F29+Sheet1!$K29+Sheet1!$L29</f>
        <v>2277.9</v>
      </c>
      <c r="H29" s="25">
        <v>26.0</v>
      </c>
      <c r="I29" s="22">
        <v>7.0</v>
      </c>
      <c r="J29" s="26">
        <f t="shared" si="2"/>
        <v>21.1</v>
      </c>
      <c r="K29" s="22"/>
      <c r="L29" s="27"/>
      <c r="M29" s="28">
        <f>Sheet1!$F29+$F$12*Sheet1!$J29+Sheet1!$K29+Sheet1!$L29</f>
        <v>2277.9</v>
      </c>
    </row>
    <row r="30" ht="12.75" customHeight="1">
      <c r="C30" s="20">
        <f t="shared" si="3"/>
        <v>14</v>
      </c>
      <c r="D30" s="22" t="s">
        <v>38</v>
      </c>
      <c r="E30" s="22" t="s">
        <v>25</v>
      </c>
      <c r="F30" s="23">
        <f t="shared" si="1"/>
        <v>400</v>
      </c>
      <c r="G30" s="24">
        <f>J30*$F$12+F30+Sheet1!$K30+Sheet1!$L30</f>
        <v>2714</v>
      </c>
      <c r="H30" s="25">
        <v>26.0</v>
      </c>
      <c r="I30" s="22"/>
      <c r="J30" s="26">
        <f t="shared" si="2"/>
        <v>26</v>
      </c>
      <c r="K30" s="22"/>
      <c r="L30" s="27"/>
      <c r="M30" s="28">
        <f>Sheet1!$F30+$F$12*Sheet1!$J30+Sheet1!$K30+Sheet1!$L30</f>
        <v>2714</v>
      </c>
    </row>
    <row r="31" ht="12.75" customHeight="1">
      <c r="C31" s="20">
        <f t="shared" si="3"/>
        <v>15</v>
      </c>
      <c r="D31" s="22" t="s">
        <v>39</v>
      </c>
      <c r="E31" s="22" t="s">
        <v>25</v>
      </c>
      <c r="F31" s="23">
        <f t="shared" si="1"/>
        <v>400</v>
      </c>
      <c r="G31" s="24">
        <f>J31*$F$12+F31+Sheet1!$K31+Sheet1!$L31</f>
        <v>2091</v>
      </c>
      <c r="H31" s="25">
        <v>26.0</v>
      </c>
      <c r="I31" s="22">
        <v>10.0</v>
      </c>
      <c r="J31" s="26">
        <f t="shared" si="2"/>
        <v>19</v>
      </c>
      <c r="K31" s="22"/>
      <c r="L31" s="27"/>
      <c r="M31" s="28">
        <f>Sheet1!$F31+$F$12*Sheet1!$J31+Sheet1!$K31+Sheet1!$L31</f>
        <v>2091</v>
      </c>
    </row>
    <row r="32" ht="12.75" customHeight="1">
      <c r="C32" s="20">
        <f t="shared" si="3"/>
        <v>16</v>
      </c>
      <c r="D32" s="22" t="s">
        <v>40</v>
      </c>
      <c r="E32" s="22" t="s">
        <v>25</v>
      </c>
      <c r="F32" s="23">
        <f t="shared" si="1"/>
        <v>400</v>
      </c>
      <c r="G32" s="24">
        <f>J32*$F$12+F32+Sheet1!$K32+Sheet1!$L32</f>
        <v>2714</v>
      </c>
      <c r="H32" s="25">
        <v>26.0</v>
      </c>
      <c r="I32" s="22"/>
      <c r="J32" s="26">
        <f t="shared" si="2"/>
        <v>26</v>
      </c>
      <c r="K32" s="22"/>
      <c r="L32" s="27"/>
      <c r="M32" s="28">
        <f>Sheet1!$F32+$F$12*Sheet1!$J32+Sheet1!$K32+Sheet1!$L32</f>
        <v>2714</v>
      </c>
    </row>
    <row r="33" ht="12.75" customHeight="1">
      <c r="C33" s="20">
        <f t="shared" si="3"/>
        <v>17</v>
      </c>
      <c r="D33" s="22" t="s">
        <v>41</v>
      </c>
      <c r="E33" s="22" t="s">
        <v>25</v>
      </c>
      <c r="F33" s="23">
        <f t="shared" si="1"/>
        <v>400</v>
      </c>
      <c r="G33" s="24">
        <f>J33*$F$12+F33+Sheet1!$K33+Sheet1!$L33</f>
        <v>2714</v>
      </c>
      <c r="H33" s="25">
        <v>26.0</v>
      </c>
      <c r="I33" s="22"/>
      <c r="J33" s="26">
        <f t="shared" si="2"/>
        <v>26</v>
      </c>
      <c r="K33" s="22"/>
      <c r="L33" s="27"/>
      <c r="M33" s="28">
        <f>Sheet1!$F33+$F$12*Sheet1!$J33+Sheet1!$K33+Sheet1!$L33</f>
        <v>2714</v>
      </c>
    </row>
    <row r="34" ht="12.75" customHeight="1">
      <c r="C34" s="20">
        <f t="shared" si="3"/>
        <v>18</v>
      </c>
      <c r="D34" s="22" t="s">
        <v>42</v>
      </c>
      <c r="E34" s="22" t="s">
        <v>25</v>
      </c>
      <c r="F34" s="23">
        <f t="shared" si="1"/>
        <v>400</v>
      </c>
      <c r="G34" s="24">
        <f>J34*$F$12+F34+Sheet1!$K34+Sheet1!$L34</f>
        <v>2714</v>
      </c>
      <c r="H34" s="25">
        <v>26.0</v>
      </c>
      <c r="I34" s="22"/>
      <c r="J34" s="26">
        <f t="shared" si="2"/>
        <v>26</v>
      </c>
      <c r="K34" s="22"/>
      <c r="L34" s="27"/>
      <c r="M34" s="28">
        <f>Sheet1!$F34+$F$12*Sheet1!$J34+Sheet1!$K34+Sheet1!$L34</f>
        <v>2714</v>
      </c>
    </row>
    <row r="35" ht="12.75" customHeight="1">
      <c r="C35" s="20">
        <f t="shared" si="3"/>
        <v>19</v>
      </c>
      <c r="D35" s="22" t="s">
        <v>43</v>
      </c>
      <c r="E35" s="22" t="s">
        <v>25</v>
      </c>
      <c r="F35" s="23">
        <f t="shared" si="1"/>
        <v>400</v>
      </c>
      <c r="G35" s="24">
        <f>J35*$F$12+F35+Sheet1!$K35+Sheet1!$L35</f>
        <v>2464.8</v>
      </c>
      <c r="H35" s="25">
        <v>26.0</v>
      </c>
      <c r="I35" s="22">
        <v>4.0</v>
      </c>
      <c r="J35" s="26">
        <f t="shared" si="2"/>
        <v>23.2</v>
      </c>
      <c r="K35" s="22"/>
      <c r="L35" s="27"/>
      <c r="M35" s="28">
        <f>Sheet1!$F35+$F$12*Sheet1!$J35+Sheet1!$K35+Sheet1!$L35</f>
        <v>2464.8</v>
      </c>
    </row>
    <row r="36" ht="12.75" customHeight="1">
      <c r="C36" s="20">
        <f t="shared" si="3"/>
        <v>20</v>
      </c>
      <c r="D36" s="22" t="s">
        <v>44</v>
      </c>
      <c r="E36" s="22" t="s">
        <v>25</v>
      </c>
      <c r="F36" s="23">
        <f t="shared" si="1"/>
        <v>400</v>
      </c>
      <c r="G36" s="24">
        <f>J36*$F$12+F36+Sheet1!$K36+Sheet1!$L36</f>
        <v>2714</v>
      </c>
      <c r="H36" s="25">
        <v>26.0</v>
      </c>
      <c r="I36" s="22"/>
      <c r="J36" s="26">
        <f t="shared" si="2"/>
        <v>26</v>
      </c>
      <c r="K36" s="22"/>
      <c r="L36" s="27"/>
      <c r="M36" s="28">
        <f>Sheet1!$F36+$F$12*Sheet1!$J36+Sheet1!$K36+Sheet1!$L36</f>
        <v>2714</v>
      </c>
    </row>
    <row r="37" ht="12.75" customHeight="1">
      <c r="C37" s="20">
        <f t="shared" si="3"/>
        <v>21</v>
      </c>
      <c r="D37" s="22" t="s">
        <v>45</v>
      </c>
      <c r="E37" s="22" t="s">
        <v>25</v>
      </c>
      <c r="F37" s="23">
        <f t="shared" si="1"/>
        <v>400</v>
      </c>
      <c r="G37" s="24">
        <f>J37*$F$12+F37+Sheet1!$K37+Sheet1!$L37</f>
        <v>2277.9</v>
      </c>
      <c r="H37" s="25">
        <v>26.0</v>
      </c>
      <c r="I37" s="22">
        <v>7.0</v>
      </c>
      <c r="J37" s="26">
        <f t="shared" si="2"/>
        <v>21.1</v>
      </c>
      <c r="K37" s="22"/>
      <c r="L37" s="27"/>
      <c r="M37" s="28">
        <f>Sheet1!$F37+$F$12*Sheet1!$J37+Sheet1!$K37+Sheet1!$L37</f>
        <v>2277.9</v>
      </c>
    </row>
    <row r="38" ht="12.75" customHeight="1">
      <c r="C38" s="20">
        <f t="shared" si="3"/>
        <v>22</v>
      </c>
      <c r="D38" s="22" t="s">
        <v>46</v>
      </c>
      <c r="E38" s="22" t="s">
        <v>25</v>
      </c>
      <c r="F38" s="23">
        <f t="shared" si="1"/>
        <v>400</v>
      </c>
      <c r="G38" s="24">
        <f>J38*$F$12+F38+Sheet1!$K38+Sheet1!$L38</f>
        <v>2714</v>
      </c>
      <c r="H38" s="25">
        <v>26.0</v>
      </c>
      <c r="I38" s="22"/>
      <c r="J38" s="26">
        <f t="shared" si="2"/>
        <v>26</v>
      </c>
      <c r="K38" s="22"/>
      <c r="L38" s="27"/>
      <c r="M38" s="28">
        <f>Sheet1!$F38+$F$12*Sheet1!$J38+Sheet1!$K38+Sheet1!$L38</f>
        <v>2714</v>
      </c>
      <c r="N38" s="1"/>
      <c r="O38" s="1"/>
      <c r="P38" s="1"/>
      <c r="Q38" s="1"/>
      <c r="R38" s="1"/>
      <c r="S38" s="1"/>
      <c r="T38" s="1"/>
      <c r="U38" s="1"/>
    </row>
    <row r="39" ht="12.75" customHeight="1">
      <c r="C39" s="20">
        <f t="shared" si="3"/>
        <v>23</v>
      </c>
      <c r="D39" s="22" t="s">
        <v>47</v>
      </c>
      <c r="E39" s="22" t="s">
        <v>25</v>
      </c>
      <c r="F39" s="23">
        <f t="shared" si="1"/>
        <v>400</v>
      </c>
      <c r="G39" s="24">
        <f>J39*$F$12+F39+Sheet1!$K39+Sheet1!$L39</f>
        <v>2714</v>
      </c>
      <c r="H39" s="25">
        <v>26.0</v>
      </c>
      <c r="I39" s="22"/>
      <c r="J39" s="26">
        <f t="shared" si="2"/>
        <v>26</v>
      </c>
      <c r="K39" s="22"/>
      <c r="L39" s="27"/>
      <c r="M39" s="28">
        <f>Sheet1!$F39+$F$12*Sheet1!$J39+Sheet1!$K39+Sheet1!$L39</f>
        <v>2714</v>
      </c>
    </row>
    <row r="40" ht="12.75" customHeight="1">
      <c r="C40" s="20">
        <f t="shared" si="3"/>
        <v>24</v>
      </c>
      <c r="D40" s="22" t="s">
        <v>48</v>
      </c>
      <c r="E40" s="22" t="s">
        <v>25</v>
      </c>
      <c r="F40" s="23">
        <f t="shared" si="1"/>
        <v>400</v>
      </c>
      <c r="G40" s="24">
        <f>J40*$F$12+F40+Sheet1!$K40+Sheet1!$L40</f>
        <v>2153.3</v>
      </c>
      <c r="H40" s="25">
        <v>26.0</v>
      </c>
      <c r="I40" s="22">
        <v>9.0</v>
      </c>
      <c r="J40" s="26">
        <f t="shared" si="2"/>
        <v>19.7</v>
      </c>
      <c r="K40" s="22"/>
      <c r="L40" s="27"/>
      <c r="M40" s="28">
        <f>Sheet1!$F40+$F$12*Sheet1!$J40+Sheet1!$K40+Sheet1!$L40</f>
        <v>2153.3</v>
      </c>
    </row>
    <row r="41" ht="12.75" customHeight="1">
      <c r="C41" s="20">
        <f t="shared" si="3"/>
        <v>25</v>
      </c>
      <c r="D41" s="22" t="s">
        <v>49</v>
      </c>
      <c r="E41" s="22" t="s">
        <v>25</v>
      </c>
      <c r="F41" s="23">
        <f t="shared" si="1"/>
        <v>400</v>
      </c>
      <c r="G41" s="24">
        <f>J41*$F$12+F41+Sheet1!$K41+Sheet1!$L41</f>
        <v>2527.1</v>
      </c>
      <c r="H41" s="25">
        <v>26.0</v>
      </c>
      <c r="I41" s="22">
        <v>3.0</v>
      </c>
      <c r="J41" s="26">
        <f t="shared" si="2"/>
        <v>23.9</v>
      </c>
      <c r="K41" s="22"/>
      <c r="L41" s="27"/>
      <c r="M41" s="28">
        <f>Sheet1!$F41+$F$12*Sheet1!$J41+Sheet1!$K41+Sheet1!$L41</f>
        <v>2527.1</v>
      </c>
    </row>
    <row r="42" ht="12.75" customHeight="1">
      <c r="C42" s="20">
        <f t="shared" si="3"/>
        <v>26</v>
      </c>
      <c r="D42" s="22" t="s">
        <v>50</v>
      </c>
      <c r="E42" s="22" t="s">
        <v>25</v>
      </c>
      <c r="F42" s="23">
        <f t="shared" si="1"/>
        <v>400</v>
      </c>
      <c r="G42" s="24">
        <f>J42*$F$12+F42+Sheet1!$K42+Sheet1!$L42</f>
        <v>2714</v>
      </c>
      <c r="H42" s="25">
        <v>26.0</v>
      </c>
      <c r="I42" s="22"/>
      <c r="J42" s="26">
        <f t="shared" si="2"/>
        <v>26</v>
      </c>
      <c r="K42" s="22"/>
      <c r="L42" s="27"/>
      <c r="M42" s="28">
        <f>Sheet1!$F42+$F$12*Sheet1!$J42+Sheet1!$K42+Sheet1!$L42</f>
        <v>2714</v>
      </c>
    </row>
    <row r="43" ht="12.75" customHeight="1">
      <c r="C43" s="20">
        <f t="shared" si="3"/>
        <v>27</v>
      </c>
      <c r="D43" s="22" t="s">
        <v>51</v>
      </c>
      <c r="E43" s="22" t="s">
        <v>25</v>
      </c>
      <c r="F43" s="23">
        <f t="shared" si="1"/>
        <v>400</v>
      </c>
      <c r="G43" s="24">
        <f>J43*$F$12+F43+Sheet1!$K43+Sheet1!$L43</f>
        <v>2651.7</v>
      </c>
      <c r="H43" s="25">
        <v>26.0</v>
      </c>
      <c r="I43" s="22">
        <v>1.0</v>
      </c>
      <c r="J43" s="26">
        <f t="shared" si="2"/>
        <v>25.3</v>
      </c>
      <c r="K43" s="22"/>
      <c r="L43" s="27"/>
      <c r="M43" s="28">
        <f>Sheet1!$F43+$F$12*Sheet1!$J43+Sheet1!$K43+Sheet1!$L43</f>
        <v>2651.7</v>
      </c>
    </row>
    <row r="44" ht="12.75" customHeight="1">
      <c r="C44" s="20">
        <f t="shared" si="3"/>
        <v>28</v>
      </c>
      <c r="D44" s="22" t="s">
        <v>52</v>
      </c>
      <c r="E44" s="22" t="s">
        <v>25</v>
      </c>
      <c r="F44" s="23">
        <f t="shared" si="1"/>
        <v>400</v>
      </c>
      <c r="G44" s="24">
        <f>J44*$F$12+F44+Sheet1!$K44+Sheet1!$L44</f>
        <v>2714</v>
      </c>
      <c r="H44" s="25">
        <v>26.0</v>
      </c>
      <c r="I44" s="22"/>
      <c r="J44" s="26">
        <f t="shared" si="2"/>
        <v>26</v>
      </c>
      <c r="K44" s="22"/>
      <c r="L44" s="27"/>
      <c r="M44" s="28">
        <f>Sheet1!$F44+$F$12*Sheet1!$J44+Sheet1!$K44+Sheet1!$L44</f>
        <v>2714</v>
      </c>
    </row>
    <row r="45" ht="12.75" customHeight="1">
      <c r="C45" s="20">
        <f t="shared" si="3"/>
        <v>29</v>
      </c>
      <c r="D45" s="22" t="s">
        <v>53</v>
      </c>
      <c r="E45" s="22" t="s">
        <v>25</v>
      </c>
      <c r="F45" s="23">
        <f t="shared" si="1"/>
        <v>400</v>
      </c>
      <c r="G45" s="24">
        <f>J45*$F$12+F45+Sheet1!$K45+Sheet1!$L45</f>
        <v>2091</v>
      </c>
      <c r="H45" s="25">
        <v>26.0</v>
      </c>
      <c r="I45" s="22">
        <v>10.0</v>
      </c>
      <c r="J45" s="26">
        <f t="shared" si="2"/>
        <v>19</v>
      </c>
      <c r="K45" s="22"/>
      <c r="L45" s="27"/>
      <c r="M45" s="28">
        <f>Sheet1!$F45+$F$12*Sheet1!$J45+Sheet1!$K45+Sheet1!$L45</f>
        <v>2091</v>
      </c>
    </row>
    <row r="46" ht="12.75" customHeight="1">
      <c r="C46" s="20">
        <f t="shared" si="3"/>
        <v>30</v>
      </c>
      <c r="D46" s="22" t="s">
        <v>54</v>
      </c>
      <c r="E46" s="22" t="s">
        <v>25</v>
      </c>
      <c r="F46" s="23">
        <f t="shared" si="1"/>
        <v>400</v>
      </c>
      <c r="G46" s="24">
        <f>J46*$F$12+F46+Sheet1!$K46+Sheet1!$L46</f>
        <v>1468</v>
      </c>
      <c r="H46" s="25">
        <v>26.0</v>
      </c>
      <c r="I46" s="22">
        <v>20.0</v>
      </c>
      <c r="J46" s="26">
        <f t="shared" si="2"/>
        <v>12</v>
      </c>
      <c r="K46" s="22"/>
      <c r="L46" s="27"/>
      <c r="M46" s="28">
        <f>Sheet1!$F46+$F$12*Sheet1!$J46+Sheet1!$K46+Sheet1!$L46</f>
        <v>1468</v>
      </c>
    </row>
    <row r="47" ht="12.75" customHeight="1">
      <c r="C47" s="20">
        <f t="shared" si="3"/>
        <v>31</v>
      </c>
      <c r="D47" s="22" t="s">
        <v>55</v>
      </c>
      <c r="E47" s="22" t="s">
        <v>25</v>
      </c>
      <c r="F47" s="23">
        <f t="shared" si="1"/>
        <v>400</v>
      </c>
      <c r="G47" s="24">
        <f>J47*$F$12+F47+Sheet1!$K47+Sheet1!$L47</f>
        <v>2714</v>
      </c>
      <c r="H47" s="25">
        <v>26.0</v>
      </c>
      <c r="I47" s="22"/>
      <c r="J47" s="26">
        <f t="shared" si="2"/>
        <v>26</v>
      </c>
      <c r="K47" s="22"/>
      <c r="L47" s="27"/>
      <c r="M47" s="28">
        <f>Sheet1!$F47+$F$12*Sheet1!$J47+Sheet1!$K47+Sheet1!$L47</f>
        <v>2714</v>
      </c>
    </row>
    <row r="48" ht="12.75" customHeight="1">
      <c r="C48" s="20">
        <f t="shared" si="3"/>
        <v>32</v>
      </c>
      <c r="D48" s="22" t="s">
        <v>56</v>
      </c>
      <c r="E48" s="22" t="s">
        <v>25</v>
      </c>
      <c r="F48" s="23">
        <f t="shared" si="1"/>
        <v>400</v>
      </c>
      <c r="G48" s="24">
        <f>J48*$F$12+F48+Sheet1!$K48+Sheet1!$L48</f>
        <v>2464.8</v>
      </c>
      <c r="H48" s="25">
        <v>26.0</v>
      </c>
      <c r="I48" s="22">
        <v>4.0</v>
      </c>
      <c r="J48" s="26">
        <f t="shared" si="2"/>
        <v>23.2</v>
      </c>
      <c r="K48" s="22"/>
      <c r="L48" s="27"/>
      <c r="M48" s="28">
        <f>Sheet1!$F48+$F$12*Sheet1!$J48+Sheet1!$K48+Sheet1!$L48</f>
        <v>2464.8</v>
      </c>
    </row>
    <row r="49" ht="12.75" customHeight="1">
      <c r="C49" s="20">
        <f t="shared" si="3"/>
        <v>33</v>
      </c>
      <c r="D49" s="22" t="s">
        <v>57</v>
      </c>
      <c r="E49" s="22" t="s">
        <v>25</v>
      </c>
      <c r="F49" s="23">
        <f t="shared" si="1"/>
        <v>400</v>
      </c>
      <c r="G49" s="24">
        <f>J49*$F$12+F49+Sheet1!$K49+Sheet1!$L49</f>
        <v>2714</v>
      </c>
      <c r="H49" s="25">
        <v>26.0</v>
      </c>
      <c r="I49" s="22"/>
      <c r="J49" s="26">
        <f t="shared" si="2"/>
        <v>26</v>
      </c>
      <c r="K49" s="22"/>
      <c r="L49" s="27"/>
      <c r="M49" s="28">
        <f>Sheet1!$F49+$F$12*Sheet1!$J49+Sheet1!$K49+Sheet1!$L49</f>
        <v>2714</v>
      </c>
    </row>
    <row r="50" ht="12.75" customHeight="1">
      <c r="C50" s="20">
        <f t="shared" si="3"/>
        <v>34</v>
      </c>
      <c r="D50" s="22" t="s">
        <v>58</v>
      </c>
      <c r="E50" s="22" t="s">
        <v>25</v>
      </c>
      <c r="F50" s="23">
        <f t="shared" si="1"/>
        <v>400</v>
      </c>
      <c r="G50" s="24">
        <f>J50*$F$12+F50+Sheet1!$K50+Sheet1!$L50</f>
        <v>2714</v>
      </c>
      <c r="H50" s="25">
        <v>26.0</v>
      </c>
      <c r="I50" s="22"/>
      <c r="J50" s="26">
        <f t="shared" si="2"/>
        <v>26</v>
      </c>
      <c r="K50" s="22"/>
      <c r="L50" s="27"/>
      <c r="M50" s="28">
        <f>Sheet1!$F50+$F$12*Sheet1!$J50+Sheet1!$K50+Sheet1!$L50</f>
        <v>2714</v>
      </c>
    </row>
    <row r="51" ht="12.75" customHeight="1">
      <c r="C51" s="20">
        <f t="shared" si="3"/>
        <v>35</v>
      </c>
      <c r="D51" s="22" t="s">
        <v>59</v>
      </c>
      <c r="E51" s="22" t="s">
        <v>25</v>
      </c>
      <c r="F51" s="23">
        <f t="shared" si="1"/>
        <v>400</v>
      </c>
      <c r="G51" s="24">
        <f>J51*$F$12+F51+Sheet1!$K51+Sheet1!$L51</f>
        <v>2651.7</v>
      </c>
      <c r="H51" s="25">
        <v>26.0</v>
      </c>
      <c r="I51" s="22">
        <v>1.0</v>
      </c>
      <c r="J51" s="26">
        <f t="shared" si="2"/>
        <v>25.3</v>
      </c>
      <c r="K51" s="22"/>
      <c r="L51" s="27"/>
      <c r="M51" s="28">
        <f>Sheet1!$F51+$F$12*Sheet1!$J51+Sheet1!$K51+Sheet1!$L51</f>
        <v>2651.7</v>
      </c>
    </row>
    <row r="52" ht="12.75" customHeight="1">
      <c r="C52" s="20">
        <f t="shared" si="3"/>
        <v>36</v>
      </c>
      <c r="D52" s="22" t="s">
        <v>60</v>
      </c>
      <c r="E52" s="22" t="s">
        <v>25</v>
      </c>
      <c r="F52" s="23">
        <f t="shared" si="1"/>
        <v>400</v>
      </c>
      <c r="G52" s="24">
        <f>J52*$F$12+F52+Sheet1!$K52+Sheet1!$L52</f>
        <v>2714</v>
      </c>
      <c r="H52" s="25">
        <v>26.0</v>
      </c>
      <c r="I52" s="22"/>
      <c r="J52" s="26">
        <f t="shared" si="2"/>
        <v>26</v>
      </c>
      <c r="K52" s="22"/>
      <c r="L52" s="27"/>
      <c r="M52" s="28">
        <f>Sheet1!$F52+$F$12*Sheet1!$J52+Sheet1!$K52+Sheet1!$L52</f>
        <v>2714</v>
      </c>
    </row>
    <row r="53" ht="12.75" customHeight="1">
      <c r="C53" s="20">
        <f t="shared" si="3"/>
        <v>37</v>
      </c>
      <c r="D53" s="22" t="s">
        <v>61</v>
      </c>
      <c r="E53" s="22" t="s">
        <v>25</v>
      </c>
      <c r="F53" s="23">
        <f t="shared" si="1"/>
        <v>400</v>
      </c>
      <c r="G53" s="24">
        <f>J53*$F$12+F53+Sheet1!$K53+Sheet1!$L53</f>
        <v>2651.7</v>
      </c>
      <c r="H53" s="25">
        <v>26.0</v>
      </c>
      <c r="I53" s="22">
        <v>1.0</v>
      </c>
      <c r="J53" s="26">
        <f t="shared" si="2"/>
        <v>25.3</v>
      </c>
      <c r="K53" s="22"/>
      <c r="L53" s="27"/>
      <c r="M53" s="28">
        <f>Sheet1!$F53+$F$12*Sheet1!$J53+Sheet1!$K53+Sheet1!$L53</f>
        <v>2651.7</v>
      </c>
    </row>
    <row r="54" ht="12.75" customHeight="1">
      <c r="C54" s="20">
        <f t="shared" si="3"/>
        <v>38</v>
      </c>
      <c r="D54" s="22" t="s">
        <v>62</v>
      </c>
      <c r="E54" s="22" t="s">
        <v>25</v>
      </c>
      <c r="F54" s="23">
        <f t="shared" si="1"/>
        <v>400</v>
      </c>
      <c r="G54" s="24">
        <f>J54*$F$12+F54+Sheet1!$K54+Sheet1!$L54</f>
        <v>2527.1</v>
      </c>
      <c r="H54" s="25">
        <v>26.0</v>
      </c>
      <c r="I54" s="22">
        <v>3.0</v>
      </c>
      <c r="J54" s="26">
        <f t="shared" si="2"/>
        <v>23.9</v>
      </c>
      <c r="K54" s="22"/>
      <c r="L54" s="27"/>
      <c r="M54" s="28">
        <f>Sheet1!$F54+$F$12*Sheet1!$J54+Sheet1!$K54+Sheet1!$L54</f>
        <v>2527.1</v>
      </c>
    </row>
    <row r="55" ht="12.75" customHeight="1">
      <c r="C55" s="20">
        <f t="shared" si="3"/>
        <v>39</v>
      </c>
      <c r="D55" s="22" t="s">
        <v>63</v>
      </c>
      <c r="E55" s="22" t="s">
        <v>25</v>
      </c>
      <c r="F55" s="23">
        <f t="shared" si="1"/>
        <v>400</v>
      </c>
      <c r="G55" s="24">
        <f>J55*$F$12+F55+Sheet1!$K55+Sheet1!$L55</f>
        <v>2714</v>
      </c>
      <c r="H55" s="25">
        <v>26.0</v>
      </c>
      <c r="I55" s="22"/>
      <c r="J55" s="26">
        <f t="shared" si="2"/>
        <v>26</v>
      </c>
      <c r="K55" s="22"/>
      <c r="L55" s="27"/>
      <c r="M55" s="28">
        <f>Sheet1!$F55+$F$12*Sheet1!$J55+Sheet1!$K55+Sheet1!$L55</f>
        <v>2714</v>
      </c>
    </row>
    <row r="56" ht="12.75" customHeight="1">
      <c r="C56" s="20">
        <f t="shared" si="3"/>
        <v>40</v>
      </c>
      <c r="D56" s="22" t="s">
        <v>64</v>
      </c>
      <c r="E56" s="22" t="s">
        <v>25</v>
      </c>
      <c r="F56" s="23">
        <f t="shared" si="1"/>
        <v>400</v>
      </c>
      <c r="G56" s="24">
        <f>J56*$F$12+F56+Sheet1!$K56+Sheet1!$L56</f>
        <v>2834</v>
      </c>
      <c r="H56" s="25">
        <v>26.0</v>
      </c>
      <c r="I56" s="22"/>
      <c r="J56" s="26">
        <f t="shared" si="2"/>
        <v>26</v>
      </c>
      <c r="K56" s="22">
        <v>120.0</v>
      </c>
      <c r="L56" s="27"/>
      <c r="M56" s="28">
        <f>Sheet1!$F56+$F$12*Sheet1!$J56+Sheet1!$K56+Sheet1!$L56</f>
        <v>2834</v>
      </c>
    </row>
    <row r="57" ht="12.75" customHeight="1">
      <c r="C57" s="20">
        <f t="shared" si="3"/>
        <v>41</v>
      </c>
      <c r="D57" s="22" t="s">
        <v>65</v>
      </c>
      <c r="E57" s="22" t="s">
        <v>25</v>
      </c>
      <c r="F57" s="23">
        <f t="shared" si="1"/>
        <v>400</v>
      </c>
      <c r="G57" s="24">
        <f>J57*$F$12+F57+Sheet1!$K57+Sheet1!$L57</f>
        <v>2714</v>
      </c>
      <c r="H57" s="25">
        <v>26.0</v>
      </c>
      <c r="I57" s="22"/>
      <c r="J57" s="26">
        <f t="shared" si="2"/>
        <v>26</v>
      </c>
      <c r="K57" s="22"/>
      <c r="L57" s="27"/>
      <c r="M57" s="28">
        <f>Sheet1!$F57+$F$12*Sheet1!$J57+Sheet1!$K57+Sheet1!$L57</f>
        <v>2714</v>
      </c>
    </row>
    <row r="58" ht="12.75" customHeight="1">
      <c r="C58" s="20">
        <f t="shared" si="3"/>
        <v>42</v>
      </c>
      <c r="D58" s="30" t="s">
        <v>66</v>
      </c>
      <c r="E58" s="31" t="s">
        <v>25</v>
      </c>
      <c r="F58" s="23">
        <f t="shared" si="1"/>
        <v>400</v>
      </c>
      <c r="G58" s="24">
        <f>J58*$F$12+F58+Sheet1!$K58+Sheet1!$L58</f>
        <v>2527.1</v>
      </c>
      <c r="H58" s="25">
        <v>26.0</v>
      </c>
      <c r="I58" s="22">
        <v>3.0</v>
      </c>
      <c r="J58" s="26">
        <f t="shared" si="2"/>
        <v>23.9</v>
      </c>
      <c r="K58" s="22"/>
      <c r="L58" s="27"/>
      <c r="M58" s="28">
        <f>Sheet1!$F58+$F$12*Sheet1!$J58+Sheet1!$K58+Sheet1!$L58</f>
        <v>2527.1</v>
      </c>
    </row>
    <row r="59" ht="12.75" customHeight="1">
      <c r="C59" s="20">
        <f t="shared" si="3"/>
        <v>43</v>
      </c>
      <c r="D59" s="30" t="s">
        <v>67</v>
      </c>
      <c r="E59" s="32" t="s">
        <v>25</v>
      </c>
      <c r="F59" s="23">
        <f t="shared" si="1"/>
        <v>400</v>
      </c>
      <c r="G59" s="24">
        <f>J59*$F$12+F59+Sheet1!$K59+Sheet1!$L59</f>
        <v>2714</v>
      </c>
      <c r="H59" s="25">
        <v>26.0</v>
      </c>
      <c r="I59" s="22"/>
      <c r="J59" s="26">
        <f t="shared" si="2"/>
        <v>26</v>
      </c>
      <c r="K59" s="22"/>
      <c r="L59" s="27"/>
      <c r="M59" s="28">
        <f>Sheet1!$F59+$F$12*Sheet1!$J59+Sheet1!$K59+Sheet1!$L59</f>
        <v>2714</v>
      </c>
    </row>
    <row r="60" ht="12.75" customHeight="1">
      <c r="C60" s="20">
        <f t="shared" si="3"/>
        <v>44</v>
      </c>
      <c r="D60" s="33" t="s">
        <v>68</v>
      </c>
      <c r="E60" s="31" t="s">
        <v>25</v>
      </c>
      <c r="F60" s="23">
        <f t="shared" si="1"/>
        <v>400</v>
      </c>
      <c r="G60" s="24">
        <f>J60*$F$12+F60+Sheet1!$K60+Sheet1!$L60</f>
        <v>2464.8</v>
      </c>
      <c r="H60" s="25">
        <v>26.0</v>
      </c>
      <c r="I60" s="22">
        <v>4.0</v>
      </c>
      <c r="J60" s="26">
        <f t="shared" si="2"/>
        <v>23.2</v>
      </c>
      <c r="K60" s="22"/>
      <c r="L60" s="27"/>
      <c r="M60" s="28">
        <f>Sheet1!$F60+$F$12*Sheet1!$J60+Sheet1!$K60+Sheet1!$L60</f>
        <v>2464.8</v>
      </c>
    </row>
    <row r="61" ht="12.75" customHeight="1">
      <c r="C61" s="20">
        <f t="shared" si="3"/>
        <v>45</v>
      </c>
      <c r="D61" s="33" t="s">
        <v>69</v>
      </c>
      <c r="E61" s="32" t="s">
        <v>25</v>
      </c>
      <c r="F61" s="23">
        <f t="shared" si="1"/>
        <v>400</v>
      </c>
      <c r="G61" s="24">
        <f>J61*$F$12+F61+Sheet1!$K61+Sheet1!$L61</f>
        <v>2402.5</v>
      </c>
      <c r="H61" s="25">
        <v>26.0</v>
      </c>
      <c r="I61" s="27">
        <v>5.0</v>
      </c>
      <c r="J61" s="26">
        <f t="shared" si="2"/>
        <v>22.5</v>
      </c>
      <c r="K61" s="27"/>
      <c r="L61" s="27"/>
      <c r="M61" s="28">
        <f>Sheet1!$F61+$F$12*Sheet1!$J61+Sheet1!$K61+Sheet1!$L61</f>
        <v>2402.5</v>
      </c>
    </row>
    <row r="62" ht="12.75" customHeight="1">
      <c r="C62" s="20">
        <f t="shared" si="3"/>
        <v>46</v>
      </c>
      <c r="D62" s="33" t="s">
        <v>70</v>
      </c>
      <c r="E62" s="31" t="s">
        <v>25</v>
      </c>
      <c r="F62" s="23">
        <f t="shared" si="1"/>
        <v>400</v>
      </c>
      <c r="G62" s="24">
        <f>J62*$F$12+F62+Sheet1!$K62+Sheet1!$L62</f>
        <v>2714</v>
      </c>
      <c r="H62" s="25">
        <v>26.0</v>
      </c>
      <c r="I62" s="27"/>
      <c r="J62" s="26">
        <f t="shared" si="2"/>
        <v>26</v>
      </c>
      <c r="K62" s="27"/>
      <c r="L62" s="27"/>
      <c r="M62" s="28">
        <f>Sheet1!$F62+$F$12*Sheet1!$J62+Sheet1!$K62+Sheet1!$L62</f>
        <v>2714</v>
      </c>
    </row>
    <row r="63" ht="12.75" customHeight="1">
      <c r="C63" s="20">
        <f t="shared" si="3"/>
        <v>47</v>
      </c>
      <c r="D63" s="33" t="s">
        <v>71</v>
      </c>
      <c r="E63" s="32" t="s">
        <v>25</v>
      </c>
      <c r="F63" s="23">
        <f t="shared" si="1"/>
        <v>400</v>
      </c>
      <c r="G63" s="24">
        <f>J63*$F$12+F63+Sheet1!$K63+Sheet1!$L63</f>
        <v>2714</v>
      </c>
      <c r="H63" s="25">
        <v>26.0</v>
      </c>
      <c r="I63" s="27"/>
      <c r="J63" s="26">
        <f t="shared" si="2"/>
        <v>26</v>
      </c>
      <c r="K63" s="27"/>
      <c r="L63" s="27"/>
      <c r="M63" s="28">
        <f>Sheet1!$F63+$F$12*Sheet1!$J63+Sheet1!$K63+Sheet1!$L63</f>
        <v>2714</v>
      </c>
    </row>
    <row r="64" ht="12.75" customHeight="1">
      <c r="C64" s="20">
        <f t="shared" si="3"/>
        <v>48</v>
      </c>
      <c r="D64" s="33" t="s">
        <v>72</v>
      </c>
      <c r="E64" s="31" t="s">
        <v>25</v>
      </c>
      <c r="F64" s="23">
        <f t="shared" si="1"/>
        <v>400</v>
      </c>
      <c r="G64" s="24">
        <f>J64*$F$12+F64+Sheet1!$K64+Sheet1!$L64</f>
        <v>2714</v>
      </c>
      <c r="H64" s="25">
        <v>26.0</v>
      </c>
      <c r="I64" s="27"/>
      <c r="J64" s="26">
        <f t="shared" si="2"/>
        <v>26</v>
      </c>
      <c r="K64" s="27"/>
      <c r="L64" s="27"/>
      <c r="M64" s="28">
        <f>Sheet1!$F64+$F$12*Sheet1!$J64+Sheet1!$K64+Sheet1!$L64</f>
        <v>2714</v>
      </c>
    </row>
    <row r="65" ht="12.75" customHeight="1">
      <c r="C65" s="20">
        <f t="shared" si="3"/>
        <v>49</v>
      </c>
      <c r="D65" s="33" t="s">
        <v>73</v>
      </c>
      <c r="E65" s="32" t="s">
        <v>25</v>
      </c>
      <c r="F65" s="23">
        <f t="shared" si="1"/>
        <v>400</v>
      </c>
      <c r="G65" s="24">
        <f>J65*$F$12+F65+Sheet1!$K65+Sheet1!$L65</f>
        <v>2527.1</v>
      </c>
      <c r="H65" s="25">
        <v>26.0</v>
      </c>
      <c r="I65" s="27">
        <v>3.0</v>
      </c>
      <c r="J65" s="26">
        <f t="shared" si="2"/>
        <v>23.9</v>
      </c>
      <c r="K65" s="27"/>
      <c r="L65" s="27"/>
      <c r="M65" s="28">
        <f>Sheet1!$F65+$F$12*Sheet1!$J65+Sheet1!$K65+Sheet1!$L65</f>
        <v>2527.1</v>
      </c>
    </row>
    <row r="66" ht="12.75" customHeight="1">
      <c r="C66" s="20">
        <f t="shared" si="3"/>
        <v>50</v>
      </c>
      <c r="D66" s="32" t="s">
        <v>74</v>
      </c>
      <c r="E66" s="32" t="s">
        <v>25</v>
      </c>
      <c r="F66" s="23">
        <f t="shared" si="1"/>
        <v>400</v>
      </c>
      <c r="G66" s="24">
        <f>J66*$F$12+F66+Sheet1!$K66+Sheet1!$L66</f>
        <v>2714</v>
      </c>
      <c r="H66" s="25">
        <v>26.0</v>
      </c>
      <c r="I66" s="27"/>
      <c r="J66" s="26">
        <f t="shared" si="2"/>
        <v>26</v>
      </c>
      <c r="K66" s="27"/>
      <c r="L66" s="27"/>
      <c r="M66" s="28">
        <f>Sheet1!$F66+$F$12*Sheet1!$J66+Sheet1!$K66+Sheet1!$L66</f>
        <v>2714</v>
      </c>
    </row>
    <row r="67" ht="12.75" customHeight="1">
      <c r="C67" s="20">
        <f t="shared" si="3"/>
        <v>51</v>
      </c>
      <c r="D67" s="27" t="s">
        <v>75</v>
      </c>
      <c r="E67" s="32" t="s">
        <v>25</v>
      </c>
      <c r="F67" s="23">
        <f t="shared" si="1"/>
        <v>400</v>
      </c>
      <c r="G67" s="24">
        <f>J67*$F$12+F67+Sheet1!$K67+Sheet1!$L67</f>
        <v>2527.1</v>
      </c>
      <c r="H67" s="25">
        <v>26.0</v>
      </c>
      <c r="I67" s="27">
        <v>3.0</v>
      </c>
      <c r="J67" s="26">
        <f t="shared" si="2"/>
        <v>23.9</v>
      </c>
      <c r="K67" s="27"/>
      <c r="L67" s="27"/>
      <c r="M67" s="28">
        <f>Sheet1!$F67+$F$12*Sheet1!$J67+Sheet1!$K67+Sheet1!$L67</f>
        <v>2527.1</v>
      </c>
    </row>
    <row r="68" ht="12.75" customHeight="1">
      <c r="C68" s="20">
        <f t="shared" si="3"/>
        <v>52</v>
      </c>
      <c r="D68" s="30" t="s">
        <v>76</v>
      </c>
      <c r="E68" s="34" t="s">
        <v>25</v>
      </c>
      <c r="F68" s="23">
        <f t="shared" si="1"/>
        <v>400</v>
      </c>
      <c r="G68" s="24">
        <f>J68*$F$12+F68+Sheet1!$K68+Sheet1!$L68</f>
        <v>2714</v>
      </c>
      <c r="H68" s="25">
        <v>26.0</v>
      </c>
      <c r="I68" s="22"/>
      <c r="J68" s="26">
        <f t="shared" si="2"/>
        <v>26</v>
      </c>
      <c r="K68" s="22"/>
      <c r="L68" s="27"/>
      <c r="M68" s="28">
        <f>Sheet1!$F68+$F$12*Sheet1!$J68+Sheet1!$K68+Sheet1!$L68</f>
        <v>2714</v>
      </c>
    </row>
    <row r="69" ht="12.75" customHeight="1">
      <c r="C69" s="20">
        <f t="shared" si="3"/>
        <v>53</v>
      </c>
      <c r="D69" s="30" t="s">
        <v>77</v>
      </c>
      <c r="E69" s="34" t="s">
        <v>25</v>
      </c>
      <c r="F69" s="23">
        <f t="shared" si="1"/>
        <v>400</v>
      </c>
      <c r="G69" s="24">
        <f>J69*$F$12+F69+Sheet1!$K69+Sheet1!$L69</f>
        <v>2724</v>
      </c>
      <c r="H69" s="25">
        <v>26.0</v>
      </c>
      <c r="I69" s="22"/>
      <c r="J69" s="26">
        <f t="shared" si="2"/>
        <v>26</v>
      </c>
      <c r="K69" s="22"/>
      <c r="L69" s="27">
        <v>10.0</v>
      </c>
      <c r="M69" s="28">
        <f>Sheet1!$F69+$F$12*Sheet1!$J69+Sheet1!$K69+Sheet1!$L69</f>
        <v>2724</v>
      </c>
    </row>
    <row r="70" ht="12.75" customHeight="1">
      <c r="C70" s="20">
        <f t="shared" si="3"/>
        <v>54</v>
      </c>
      <c r="D70" s="30" t="s">
        <v>78</v>
      </c>
      <c r="E70" s="34" t="s">
        <v>25</v>
      </c>
      <c r="F70" s="23">
        <f t="shared" si="1"/>
        <v>400</v>
      </c>
      <c r="G70" s="24">
        <f>J70*$F$12+F70+Sheet1!$K70+Sheet1!$L70</f>
        <v>2532.1</v>
      </c>
      <c r="H70" s="25">
        <v>26.0</v>
      </c>
      <c r="I70" s="22">
        <v>3.0</v>
      </c>
      <c r="J70" s="26">
        <f t="shared" si="2"/>
        <v>23.9</v>
      </c>
      <c r="K70" s="22"/>
      <c r="L70" s="27">
        <v>5.0</v>
      </c>
      <c r="M70" s="28">
        <f>Sheet1!$F70+$F$12*Sheet1!$J70+Sheet1!$K70+Sheet1!$L70</f>
        <v>2532.1</v>
      </c>
    </row>
    <row r="71" ht="12.75" customHeight="1">
      <c r="C71" s="20">
        <f t="shared" si="3"/>
        <v>55</v>
      </c>
      <c r="D71" s="30" t="s">
        <v>79</v>
      </c>
      <c r="E71" s="34" t="s">
        <v>25</v>
      </c>
      <c r="F71" s="23">
        <f t="shared" si="1"/>
        <v>400</v>
      </c>
      <c r="G71" s="24">
        <f>J71*$F$12+F71+Sheet1!$K71+Sheet1!$L71</f>
        <v>2714</v>
      </c>
      <c r="H71" s="25">
        <v>26.0</v>
      </c>
      <c r="I71" s="22"/>
      <c r="J71" s="26">
        <f t="shared" si="2"/>
        <v>26</v>
      </c>
      <c r="K71" s="22"/>
      <c r="L71" s="27"/>
      <c r="M71" s="28">
        <f>Sheet1!$F71+$F$12*Sheet1!$J71+Sheet1!$K71+Sheet1!$L71</f>
        <v>2714</v>
      </c>
    </row>
    <row r="72" ht="12.75" customHeight="1">
      <c r="C72" s="20">
        <f t="shared" si="3"/>
        <v>56</v>
      </c>
      <c r="D72" s="30" t="s">
        <v>80</v>
      </c>
      <c r="E72" s="34" t="s">
        <v>25</v>
      </c>
      <c r="F72" s="23">
        <f t="shared" si="1"/>
        <v>400</v>
      </c>
      <c r="G72" s="24">
        <f>J72*$F$12+F72+Sheet1!$K72+Sheet1!$L72</f>
        <v>2345.2</v>
      </c>
      <c r="H72" s="25">
        <v>26.0</v>
      </c>
      <c r="I72" s="22">
        <v>6.0</v>
      </c>
      <c r="J72" s="26">
        <f t="shared" si="2"/>
        <v>21.8</v>
      </c>
      <c r="K72" s="22"/>
      <c r="L72" s="27">
        <v>5.0</v>
      </c>
      <c r="M72" s="28">
        <f>Sheet1!$F72+$F$12*Sheet1!$J72+Sheet1!$K72+Sheet1!$L72</f>
        <v>2345.2</v>
      </c>
    </row>
    <row r="73" ht="12.75" customHeight="1">
      <c r="C73" s="20">
        <f t="shared" si="3"/>
        <v>57</v>
      </c>
      <c r="D73" s="30" t="s">
        <v>81</v>
      </c>
      <c r="E73" s="34" t="s">
        <v>25</v>
      </c>
      <c r="F73" s="23">
        <f t="shared" si="1"/>
        <v>400</v>
      </c>
      <c r="G73" s="24">
        <f>J73*$F$12+F73+Sheet1!$K73+Sheet1!$L73</f>
        <v>2345.2</v>
      </c>
      <c r="H73" s="25">
        <v>26.0</v>
      </c>
      <c r="I73" s="22">
        <v>6.0</v>
      </c>
      <c r="J73" s="26">
        <f t="shared" si="2"/>
        <v>21.8</v>
      </c>
      <c r="K73" s="22"/>
      <c r="L73" s="27">
        <v>5.0</v>
      </c>
      <c r="M73" s="28">
        <f>Sheet1!$F73+$F$12*Sheet1!$J73+Sheet1!$K73+Sheet1!$L73</f>
        <v>2345.2</v>
      </c>
    </row>
    <row r="74" ht="12.75" customHeight="1">
      <c r="C74" s="20">
        <f t="shared" si="3"/>
        <v>58</v>
      </c>
      <c r="D74" s="30" t="s">
        <v>82</v>
      </c>
      <c r="E74" s="35" t="s">
        <v>25</v>
      </c>
      <c r="F74" s="23">
        <f t="shared" si="1"/>
        <v>400</v>
      </c>
      <c r="G74" s="24">
        <f>J74*$F$12+F74+Sheet1!$K74+Sheet1!$L74</f>
        <v>2671.7</v>
      </c>
      <c r="H74" s="25">
        <v>26.0</v>
      </c>
      <c r="I74" s="27">
        <v>1.0</v>
      </c>
      <c r="J74" s="26">
        <f t="shared" si="2"/>
        <v>25.3</v>
      </c>
      <c r="K74" s="27"/>
      <c r="L74" s="27">
        <v>20.0</v>
      </c>
      <c r="M74" s="28">
        <f>Sheet1!$F74+$F$12*Sheet1!$J74+Sheet1!$K74+Sheet1!$L74</f>
        <v>2671.7</v>
      </c>
    </row>
    <row r="75" ht="12.75" customHeight="1">
      <c r="C75" s="20">
        <f t="shared" si="3"/>
        <v>59</v>
      </c>
      <c r="D75" s="30" t="s">
        <v>83</v>
      </c>
      <c r="E75" s="34" t="s">
        <v>84</v>
      </c>
      <c r="F75" s="23">
        <f t="shared" si="1"/>
        <v>400</v>
      </c>
      <c r="G75" s="24">
        <f>J75*$F$12+F75+Sheet1!$K75+Sheet1!$L75</f>
        <v>2769</v>
      </c>
      <c r="H75" s="25">
        <v>26.0</v>
      </c>
      <c r="I75" s="22"/>
      <c r="J75" s="26">
        <f t="shared" si="2"/>
        <v>26</v>
      </c>
      <c r="K75" s="22"/>
      <c r="L75" s="27">
        <v>55.0</v>
      </c>
      <c r="M75" s="28">
        <f>Sheet1!$F75+$F$12*Sheet1!$J75+Sheet1!$K75+Sheet1!$L75</f>
        <v>2769</v>
      </c>
    </row>
    <row r="76" ht="12.75" customHeight="1">
      <c r="C76" s="20">
        <f t="shared" si="3"/>
        <v>60</v>
      </c>
      <c r="D76" s="30" t="s">
        <v>85</v>
      </c>
      <c r="E76" s="34" t="s">
        <v>84</v>
      </c>
      <c r="F76" s="23">
        <f t="shared" si="1"/>
        <v>400</v>
      </c>
      <c r="G76" s="24">
        <f>J76*$F$12+F76+Sheet1!$K76+Sheet1!$L76</f>
        <v>2340.2</v>
      </c>
      <c r="H76" s="25">
        <v>26.0</v>
      </c>
      <c r="I76" s="22">
        <v>6.0</v>
      </c>
      <c r="J76" s="26">
        <f t="shared" si="2"/>
        <v>21.8</v>
      </c>
      <c r="K76" s="22"/>
      <c r="L76" s="27"/>
      <c r="M76" s="28">
        <f>Sheet1!$F76+$F$12*Sheet1!$J76+Sheet1!$K76+Sheet1!$L76</f>
        <v>2340.2</v>
      </c>
    </row>
    <row r="77" ht="12.75" customHeight="1">
      <c r="C77" s="20">
        <f t="shared" si="3"/>
        <v>61</v>
      </c>
      <c r="D77" s="30" t="s">
        <v>86</v>
      </c>
      <c r="E77" s="34" t="s">
        <v>84</v>
      </c>
      <c r="F77" s="23">
        <f t="shared" si="1"/>
        <v>400</v>
      </c>
      <c r="G77" s="24">
        <f>J77*$F$12+F77+Sheet1!$K77+Sheet1!$L77</f>
        <v>2469.8</v>
      </c>
      <c r="H77" s="25">
        <v>26.0</v>
      </c>
      <c r="I77" s="22">
        <v>4.0</v>
      </c>
      <c r="J77" s="26">
        <f t="shared" si="2"/>
        <v>23.2</v>
      </c>
      <c r="K77" s="22"/>
      <c r="L77" s="27">
        <v>5.0</v>
      </c>
      <c r="M77" s="28">
        <f>Sheet1!$F77+$F$12*Sheet1!$J77+Sheet1!$K77+Sheet1!$L77</f>
        <v>2469.8</v>
      </c>
    </row>
    <row r="78" ht="12.75" customHeight="1">
      <c r="C78" s="20">
        <f t="shared" si="3"/>
        <v>62</v>
      </c>
      <c r="D78" s="30" t="s">
        <v>87</v>
      </c>
      <c r="E78" s="34" t="s">
        <v>88</v>
      </c>
      <c r="F78" s="23">
        <f t="shared" si="1"/>
        <v>400</v>
      </c>
      <c r="G78" s="24">
        <f>J78*$F$12+F78+Sheet1!$K78+Sheet1!$L78</f>
        <v>2412.5</v>
      </c>
      <c r="H78" s="25">
        <v>26.0</v>
      </c>
      <c r="I78" s="22">
        <v>5.0</v>
      </c>
      <c r="J78" s="26">
        <f t="shared" si="2"/>
        <v>22.5</v>
      </c>
      <c r="K78" s="22"/>
      <c r="L78" s="27">
        <v>10.0</v>
      </c>
      <c r="M78" s="28">
        <f>Sheet1!$F78+$F$12*Sheet1!$J78+Sheet1!$K78+Sheet1!$L78</f>
        <v>2412.5</v>
      </c>
    </row>
    <row r="79" ht="12.75" customHeight="1">
      <c r="C79" s="20">
        <f t="shared" si="3"/>
        <v>63</v>
      </c>
      <c r="D79" s="30" t="s">
        <v>89</v>
      </c>
      <c r="E79" s="34" t="s">
        <v>90</v>
      </c>
      <c r="F79" s="23">
        <f t="shared" si="1"/>
        <v>400</v>
      </c>
      <c r="G79" s="24">
        <f>J79*$F$12+F79+Sheet1!$K79+Sheet1!$L79</f>
        <v>2532.1</v>
      </c>
      <c r="H79" s="25">
        <v>26.0</v>
      </c>
      <c r="I79" s="22">
        <v>3.0</v>
      </c>
      <c r="J79" s="26">
        <f t="shared" si="2"/>
        <v>23.9</v>
      </c>
      <c r="K79" s="22"/>
      <c r="L79" s="27">
        <v>5.0</v>
      </c>
      <c r="M79" s="28">
        <f>Sheet1!$F79+$F$12*Sheet1!$J79+Sheet1!$K79+Sheet1!$L79</f>
        <v>2532.1</v>
      </c>
    </row>
    <row r="80" ht="12.75" customHeight="1">
      <c r="C80" s="20">
        <f t="shared" si="3"/>
        <v>64</v>
      </c>
      <c r="D80" s="30" t="s">
        <v>91</v>
      </c>
      <c r="E80" s="34" t="s">
        <v>90</v>
      </c>
      <c r="F80" s="23">
        <f t="shared" si="1"/>
        <v>400</v>
      </c>
      <c r="G80" s="24">
        <f>J80*$F$12+F80+Sheet1!$K80+Sheet1!$L80</f>
        <v>2714</v>
      </c>
      <c r="H80" s="25">
        <v>26.0</v>
      </c>
      <c r="I80" s="22"/>
      <c r="J80" s="26">
        <f t="shared" si="2"/>
        <v>26</v>
      </c>
      <c r="K80" s="22"/>
      <c r="L80" s="27"/>
      <c r="M80" s="28">
        <f>Sheet1!$F80+$F$12*Sheet1!$J80+Sheet1!$K80+Sheet1!$L80</f>
        <v>2714</v>
      </c>
    </row>
    <row r="81" ht="12.75" customHeight="1">
      <c r="C81" s="20">
        <f t="shared" si="3"/>
        <v>65</v>
      </c>
      <c r="D81" s="30" t="s">
        <v>92</v>
      </c>
      <c r="E81" s="34" t="s">
        <v>90</v>
      </c>
      <c r="F81" s="23">
        <f t="shared" si="1"/>
        <v>400</v>
      </c>
      <c r="G81" s="24">
        <f>J81*$F$12+F81+Sheet1!$K81+Sheet1!$L81</f>
        <v>2714</v>
      </c>
      <c r="H81" s="25">
        <v>26.0</v>
      </c>
      <c r="I81" s="22"/>
      <c r="J81" s="26">
        <f t="shared" si="2"/>
        <v>26</v>
      </c>
      <c r="K81" s="22"/>
      <c r="L81" s="27"/>
      <c r="M81" s="28">
        <f>Sheet1!$F81+$F$12*Sheet1!$J81+Sheet1!$K81+Sheet1!$L81</f>
        <v>2714</v>
      </c>
    </row>
    <row r="82" ht="12.75" customHeight="1">
      <c r="C82" s="20">
        <f t="shared" si="3"/>
        <v>66</v>
      </c>
      <c r="D82" s="30" t="s">
        <v>93</v>
      </c>
      <c r="E82" s="34" t="s">
        <v>90</v>
      </c>
      <c r="F82" s="23">
        <f t="shared" si="1"/>
        <v>400</v>
      </c>
      <c r="G82" s="24">
        <f>J82*$F$12+F82+Sheet1!$K82+Sheet1!$L82</f>
        <v>2537.1</v>
      </c>
      <c r="H82" s="25">
        <v>26.0</v>
      </c>
      <c r="I82" s="22">
        <v>3.0</v>
      </c>
      <c r="J82" s="26">
        <f t="shared" si="2"/>
        <v>23.9</v>
      </c>
      <c r="K82" s="22"/>
      <c r="L82" s="27">
        <v>10.0</v>
      </c>
      <c r="M82" s="28">
        <f>Sheet1!$F82+$F$12*Sheet1!$J82+Sheet1!$K82+Sheet1!$L82</f>
        <v>2537.1</v>
      </c>
    </row>
    <row r="83" ht="12.75" customHeight="1">
      <c r="C83" s="20">
        <f t="shared" si="3"/>
        <v>67</v>
      </c>
      <c r="D83" s="30" t="s">
        <v>94</v>
      </c>
      <c r="E83" s="34" t="s">
        <v>90</v>
      </c>
      <c r="F83" s="23">
        <f t="shared" si="1"/>
        <v>400</v>
      </c>
      <c r="G83" s="24">
        <f>J83*$F$12+F83+Sheet1!$K83+Sheet1!$L83</f>
        <v>2719</v>
      </c>
      <c r="H83" s="25">
        <v>26.0</v>
      </c>
      <c r="I83" s="22"/>
      <c r="J83" s="26">
        <f t="shared" si="2"/>
        <v>26</v>
      </c>
      <c r="K83" s="22"/>
      <c r="L83" s="27">
        <v>5.0</v>
      </c>
      <c r="M83" s="28">
        <f>Sheet1!$F83+$F$12*Sheet1!$J83+Sheet1!$K83+Sheet1!$L83</f>
        <v>2719</v>
      </c>
    </row>
    <row r="84" ht="12.75" customHeight="1">
      <c r="C84" s="20">
        <f t="shared" si="3"/>
        <v>68</v>
      </c>
      <c r="D84" s="30" t="s">
        <v>95</v>
      </c>
      <c r="E84" s="34" t="s">
        <v>90</v>
      </c>
      <c r="F84" s="23">
        <f t="shared" si="1"/>
        <v>400</v>
      </c>
      <c r="G84" s="24">
        <f>J84*$F$12+F84+Sheet1!$K84+Sheet1!$L84</f>
        <v>2527.1</v>
      </c>
      <c r="H84" s="25">
        <v>26.0</v>
      </c>
      <c r="I84" s="22">
        <v>3.0</v>
      </c>
      <c r="J84" s="26">
        <f t="shared" si="2"/>
        <v>23.9</v>
      </c>
      <c r="K84" s="22"/>
      <c r="L84" s="27"/>
      <c r="M84" s="28">
        <f>Sheet1!$F84+$F$12*Sheet1!$J84+Sheet1!$K84+Sheet1!$L84</f>
        <v>2527.1</v>
      </c>
    </row>
    <row r="85" ht="12.75" customHeight="1">
      <c r="C85" s="20">
        <f t="shared" si="3"/>
        <v>69</v>
      </c>
      <c r="D85" s="30" t="s">
        <v>96</v>
      </c>
      <c r="E85" s="34" t="s">
        <v>90</v>
      </c>
      <c r="F85" s="23">
        <f t="shared" si="1"/>
        <v>400</v>
      </c>
      <c r="G85" s="24">
        <f>J85*$F$12+F85+Sheet1!$K85+Sheet1!$L85</f>
        <v>2091</v>
      </c>
      <c r="H85" s="25">
        <v>26.0</v>
      </c>
      <c r="I85" s="22">
        <v>10.0</v>
      </c>
      <c r="J85" s="26">
        <f t="shared" si="2"/>
        <v>19</v>
      </c>
      <c r="K85" s="22"/>
      <c r="L85" s="27"/>
      <c r="M85" s="28">
        <f>Sheet1!$F85+$F$12*Sheet1!$J85+Sheet1!$K85+Sheet1!$L85</f>
        <v>2091</v>
      </c>
    </row>
    <row r="86" ht="12.75" customHeight="1">
      <c r="C86" s="20">
        <f t="shared" si="3"/>
        <v>70</v>
      </c>
      <c r="D86" s="30" t="s">
        <v>97</v>
      </c>
      <c r="E86" s="34" t="s">
        <v>90</v>
      </c>
      <c r="F86" s="23">
        <f t="shared" si="1"/>
        <v>400</v>
      </c>
      <c r="G86" s="24">
        <f>J86*$F$12+F86+Sheet1!$K86+Sheet1!$L86</f>
        <v>2527.1</v>
      </c>
      <c r="H86" s="25">
        <v>26.0</v>
      </c>
      <c r="I86" s="22">
        <v>3.0</v>
      </c>
      <c r="J86" s="26">
        <f t="shared" si="2"/>
        <v>23.9</v>
      </c>
      <c r="K86" s="22"/>
      <c r="L86" s="27"/>
      <c r="M86" s="28">
        <f>Sheet1!$F86+$F$12*Sheet1!$J86+Sheet1!$K86+Sheet1!$L86</f>
        <v>2527.1</v>
      </c>
    </row>
    <row r="87" ht="12.75" customHeight="1">
      <c r="C87" s="20">
        <f t="shared" si="3"/>
        <v>71</v>
      </c>
      <c r="D87" s="30" t="s">
        <v>98</v>
      </c>
      <c r="E87" s="34" t="s">
        <v>90</v>
      </c>
      <c r="F87" s="23">
        <f t="shared" si="1"/>
        <v>400</v>
      </c>
      <c r="G87" s="24">
        <f>J87*$F$12+F87+Sheet1!$K87+Sheet1!$L87</f>
        <v>2153.3</v>
      </c>
      <c r="H87" s="25">
        <v>26.0</v>
      </c>
      <c r="I87" s="22">
        <v>9.0</v>
      </c>
      <c r="J87" s="26">
        <f t="shared" si="2"/>
        <v>19.7</v>
      </c>
      <c r="K87" s="22"/>
      <c r="L87" s="27"/>
      <c r="M87" s="28">
        <f>Sheet1!$F87+$F$12*Sheet1!$J87+Sheet1!$K87+Sheet1!$L87</f>
        <v>2153.3</v>
      </c>
    </row>
    <row r="88" ht="12.75" customHeight="1">
      <c r="C88" s="20">
        <f t="shared" si="3"/>
        <v>72</v>
      </c>
      <c r="D88" s="30" t="s">
        <v>99</v>
      </c>
      <c r="E88" s="34" t="s">
        <v>90</v>
      </c>
      <c r="F88" s="23">
        <f t="shared" si="1"/>
        <v>400</v>
      </c>
      <c r="G88" s="24">
        <f>J88*$F$12+F88+Sheet1!$K88+Sheet1!$L88</f>
        <v>2043.7</v>
      </c>
      <c r="H88" s="25">
        <v>26.0</v>
      </c>
      <c r="I88" s="22">
        <v>11.0</v>
      </c>
      <c r="J88" s="26">
        <f t="shared" si="2"/>
        <v>18.3</v>
      </c>
      <c r="K88" s="22"/>
      <c r="L88" s="27">
        <v>15.0</v>
      </c>
      <c r="M88" s="28">
        <f>Sheet1!$F88+$F$12*Sheet1!$J88+Sheet1!$K88+Sheet1!$L88</f>
        <v>2043.7</v>
      </c>
    </row>
    <row r="89" ht="12.75" customHeight="1">
      <c r="C89" s="20">
        <f t="shared" si="3"/>
        <v>73</v>
      </c>
      <c r="D89" s="30" t="s">
        <v>100</v>
      </c>
      <c r="E89" s="34" t="s">
        <v>90</v>
      </c>
      <c r="F89" s="23">
        <f t="shared" si="1"/>
        <v>400</v>
      </c>
      <c r="G89" s="24">
        <f>J89*$F$12+F89+Sheet1!$K89+Sheet1!$L89</f>
        <v>2714</v>
      </c>
      <c r="H89" s="25">
        <v>26.0</v>
      </c>
      <c r="I89" s="22"/>
      <c r="J89" s="26">
        <f t="shared" si="2"/>
        <v>26</v>
      </c>
      <c r="K89" s="22"/>
      <c r="L89" s="27"/>
      <c r="M89" s="28">
        <f>Sheet1!$F89+$F$12*Sheet1!$J89+Sheet1!$K89+Sheet1!$L89</f>
        <v>2714</v>
      </c>
    </row>
    <row r="90" ht="12.75" customHeight="1">
      <c r="C90" s="20">
        <f t="shared" si="3"/>
        <v>74</v>
      </c>
      <c r="D90" s="30" t="s">
        <v>101</v>
      </c>
      <c r="E90" s="34" t="s">
        <v>90</v>
      </c>
      <c r="F90" s="23">
        <f t="shared" si="1"/>
        <v>400</v>
      </c>
      <c r="G90" s="24">
        <f>J90*$F$12+F90+Sheet1!$K90+Sheet1!$L90</f>
        <v>2724</v>
      </c>
      <c r="H90" s="25">
        <v>26.0</v>
      </c>
      <c r="I90" s="22"/>
      <c r="J90" s="26">
        <f t="shared" si="2"/>
        <v>26</v>
      </c>
      <c r="K90" s="22"/>
      <c r="L90" s="27">
        <v>10.0</v>
      </c>
      <c r="M90" s="28">
        <f>Sheet1!$F90+$F$12*Sheet1!$J90+Sheet1!$K90+Sheet1!$L90</f>
        <v>2724</v>
      </c>
    </row>
    <row r="91" ht="12.75" customHeight="1">
      <c r="C91" s="20">
        <f t="shared" si="3"/>
        <v>75</v>
      </c>
      <c r="D91" s="30" t="s">
        <v>102</v>
      </c>
      <c r="E91" s="34" t="s">
        <v>103</v>
      </c>
      <c r="F91" s="23">
        <f t="shared" si="1"/>
        <v>400</v>
      </c>
      <c r="G91" s="24">
        <f>J91*$F$12+F91+Sheet1!$K91+Sheet1!$L91</f>
        <v>2474.8</v>
      </c>
      <c r="H91" s="25">
        <v>26.0</v>
      </c>
      <c r="I91" s="22">
        <v>4.0</v>
      </c>
      <c r="J91" s="26">
        <f t="shared" si="2"/>
        <v>23.2</v>
      </c>
      <c r="K91" s="22"/>
      <c r="L91" s="27">
        <v>10.0</v>
      </c>
      <c r="M91" s="28">
        <f>Sheet1!$F91+$F$12*Sheet1!$J91+Sheet1!$K91+Sheet1!$L91</f>
        <v>2474.8</v>
      </c>
    </row>
    <row r="92" ht="12.75" customHeight="1">
      <c r="C92" s="20">
        <f t="shared" si="3"/>
        <v>76</v>
      </c>
      <c r="D92" s="30" t="s">
        <v>104</v>
      </c>
      <c r="E92" s="34" t="s">
        <v>105</v>
      </c>
      <c r="F92" s="23">
        <f t="shared" si="1"/>
        <v>400</v>
      </c>
      <c r="G92" s="24">
        <f>J92*$F$12+F92+Sheet1!$K92+Sheet1!$L92</f>
        <v>2724</v>
      </c>
      <c r="H92" s="25">
        <v>26.0</v>
      </c>
      <c r="I92" s="22"/>
      <c r="J92" s="26">
        <f t="shared" si="2"/>
        <v>26</v>
      </c>
      <c r="K92" s="22"/>
      <c r="L92" s="27">
        <v>10.0</v>
      </c>
      <c r="M92" s="28">
        <f>Sheet1!$F92+$F$12*Sheet1!$J92+Sheet1!$K92+Sheet1!$L92</f>
        <v>2724</v>
      </c>
    </row>
    <row r="93" ht="12.75" customHeight="1">
      <c r="C93" s="20">
        <f t="shared" si="3"/>
        <v>77</v>
      </c>
      <c r="D93" s="30" t="s">
        <v>106</v>
      </c>
      <c r="E93" s="34" t="s">
        <v>105</v>
      </c>
      <c r="F93" s="23">
        <f t="shared" si="1"/>
        <v>400</v>
      </c>
      <c r="G93" s="24">
        <f>J93*$F$12+F93+Sheet1!$K93+Sheet1!$L93</f>
        <v>2527.1</v>
      </c>
      <c r="H93" s="25">
        <v>26.0</v>
      </c>
      <c r="I93" s="22">
        <v>3.0</v>
      </c>
      <c r="J93" s="26">
        <f t="shared" si="2"/>
        <v>23.9</v>
      </c>
      <c r="K93" s="22"/>
      <c r="L93" s="27"/>
      <c r="M93" s="28">
        <f>Sheet1!$F93+$F$12*Sheet1!$J93+Sheet1!$K93+Sheet1!$L93</f>
        <v>2527.1</v>
      </c>
    </row>
    <row r="94" ht="12.75" customHeight="1">
      <c r="C94" s="20">
        <f t="shared" si="3"/>
        <v>78</v>
      </c>
      <c r="D94" s="30" t="s">
        <v>107</v>
      </c>
      <c r="E94" s="34" t="s">
        <v>108</v>
      </c>
      <c r="F94" s="23">
        <f t="shared" si="1"/>
        <v>400</v>
      </c>
      <c r="G94" s="24">
        <f>J94*$F$12+F94+Sheet1!$K94+Sheet1!$L94</f>
        <v>2714</v>
      </c>
      <c r="H94" s="25">
        <v>26.0</v>
      </c>
      <c r="I94" s="22"/>
      <c r="J94" s="26">
        <f t="shared" si="2"/>
        <v>26</v>
      </c>
      <c r="K94" s="22"/>
      <c r="L94" s="27"/>
      <c r="M94" s="28">
        <f>Sheet1!$F94+$F$12*Sheet1!$J94+Sheet1!$K94+Sheet1!$L94</f>
        <v>2714</v>
      </c>
    </row>
    <row r="95" ht="12.75" customHeight="1">
      <c r="C95" s="20">
        <f t="shared" si="3"/>
        <v>79</v>
      </c>
      <c r="D95" s="30" t="s">
        <v>109</v>
      </c>
      <c r="E95" s="34" t="s">
        <v>110</v>
      </c>
      <c r="F95" s="23">
        <f t="shared" si="1"/>
        <v>400</v>
      </c>
      <c r="G95" s="24">
        <f>J95*$F$12+F95+Sheet1!$K95+Sheet1!$L95</f>
        <v>2729</v>
      </c>
      <c r="H95" s="25">
        <v>26.0</v>
      </c>
      <c r="I95" s="22"/>
      <c r="J95" s="26">
        <f t="shared" si="2"/>
        <v>26</v>
      </c>
      <c r="K95" s="22"/>
      <c r="L95" s="27">
        <v>15.0</v>
      </c>
      <c r="M95" s="28">
        <f>Sheet1!$F95+$F$12*Sheet1!$J95+Sheet1!$K95+Sheet1!$L95</f>
        <v>2729</v>
      </c>
    </row>
    <row r="96" ht="12.75" customHeight="1">
      <c r="C96" s="20">
        <f t="shared" si="3"/>
        <v>80</v>
      </c>
      <c r="D96" s="30" t="s">
        <v>111</v>
      </c>
      <c r="E96" s="34" t="s">
        <v>112</v>
      </c>
      <c r="F96" s="23">
        <f t="shared" si="1"/>
        <v>400</v>
      </c>
      <c r="G96" s="24">
        <f>J96*$F$12+F96+Sheet1!$K96+Sheet1!$L96</f>
        <v>2230.6</v>
      </c>
      <c r="H96" s="25">
        <v>26.0</v>
      </c>
      <c r="I96" s="22">
        <v>8.0</v>
      </c>
      <c r="J96" s="26">
        <f t="shared" si="2"/>
        <v>20.4</v>
      </c>
      <c r="K96" s="22"/>
      <c r="L96" s="27">
        <v>15.0</v>
      </c>
      <c r="M96" s="28">
        <f>Sheet1!$F96+$F$12*Sheet1!$J96+Sheet1!$K96+Sheet1!$L96</f>
        <v>2230.6</v>
      </c>
    </row>
    <row r="97" ht="12.75" customHeight="1">
      <c r="C97" s="20">
        <f t="shared" si="3"/>
        <v>81</v>
      </c>
      <c r="D97" s="30" t="s">
        <v>113</v>
      </c>
      <c r="E97" s="34" t="s">
        <v>114</v>
      </c>
      <c r="F97" s="23">
        <f t="shared" si="1"/>
        <v>400</v>
      </c>
      <c r="G97" s="24">
        <f>J97*$F$12+F97+Sheet1!$K97+Sheet1!$L97</f>
        <v>2345.2</v>
      </c>
      <c r="H97" s="25">
        <v>26.0</v>
      </c>
      <c r="I97" s="22">
        <v>6.0</v>
      </c>
      <c r="J97" s="26">
        <f t="shared" si="2"/>
        <v>21.8</v>
      </c>
      <c r="K97" s="22"/>
      <c r="L97" s="27">
        <v>5.0</v>
      </c>
      <c r="M97" s="28">
        <f>Sheet1!$F97+$F$12*Sheet1!$J97+Sheet1!$K97+Sheet1!$L97</f>
        <v>2345.2</v>
      </c>
    </row>
    <row r="98" ht="12.75" customHeight="1">
      <c r="C98" s="20">
        <f t="shared" si="3"/>
        <v>82</v>
      </c>
      <c r="D98" s="30" t="s">
        <v>115</v>
      </c>
      <c r="E98" s="34" t="s">
        <v>116</v>
      </c>
      <c r="F98" s="23">
        <f t="shared" si="1"/>
        <v>400</v>
      </c>
      <c r="G98" s="24">
        <f>J98*$F$12+F98+Sheet1!$K98+Sheet1!$L98</f>
        <v>2464.8</v>
      </c>
      <c r="H98" s="25">
        <v>26.0</v>
      </c>
      <c r="I98" s="22">
        <v>4.0</v>
      </c>
      <c r="J98" s="26">
        <f t="shared" si="2"/>
        <v>23.2</v>
      </c>
      <c r="K98" s="22"/>
      <c r="L98" s="27"/>
      <c r="M98" s="28">
        <f>Sheet1!$F98+$F$12*Sheet1!$J98+Sheet1!$K98+Sheet1!$L98</f>
        <v>2464.8</v>
      </c>
    </row>
    <row r="99" ht="12.75" customHeight="1">
      <c r="C99" s="20">
        <f t="shared" si="3"/>
        <v>83</v>
      </c>
      <c r="D99" s="30" t="s">
        <v>117</v>
      </c>
      <c r="E99" s="34" t="s">
        <v>118</v>
      </c>
      <c r="F99" s="23">
        <f t="shared" si="1"/>
        <v>400</v>
      </c>
      <c r="G99" s="24">
        <f>J99*$F$12+F99+Sheet1!$K99+Sheet1!$L99</f>
        <v>2719</v>
      </c>
      <c r="H99" s="25">
        <v>26.0</v>
      </c>
      <c r="I99" s="22"/>
      <c r="J99" s="26">
        <f t="shared" si="2"/>
        <v>26</v>
      </c>
      <c r="K99" s="22"/>
      <c r="L99" s="27">
        <v>5.0</v>
      </c>
      <c r="M99" s="28">
        <f>Sheet1!$F99+$F$12*Sheet1!$J99+Sheet1!$K99+Sheet1!$L99</f>
        <v>2719</v>
      </c>
    </row>
    <row r="100" ht="12.75" customHeight="1">
      <c r="C100" s="20">
        <f t="shared" si="3"/>
        <v>84</v>
      </c>
      <c r="D100" s="30" t="s">
        <v>119</v>
      </c>
      <c r="E100" s="34" t="s">
        <v>118</v>
      </c>
      <c r="F100" s="23">
        <f t="shared" si="1"/>
        <v>400</v>
      </c>
      <c r="G100" s="24">
        <f>J100*$F$12+F100+Sheet1!$K100+Sheet1!$L100</f>
        <v>2589.4</v>
      </c>
      <c r="H100" s="25">
        <v>26.0</v>
      </c>
      <c r="I100" s="22">
        <v>2.0</v>
      </c>
      <c r="J100" s="26">
        <f t="shared" si="2"/>
        <v>24.6</v>
      </c>
      <c r="K100" s="22"/>
      <c r="L100" s="27"/>
      <c r="M100" s="28">
        <f>Sheet1!$F100+$F$12*Sheet1!$J100+Sheet1!$K100+Sheet1!$L100</f>
        <v>2589.4</v>
      </c>
    </row>
    <row r="101" ht="12.75" customHeight="1">
      <c r="C101" s="20">
        <f t="shared" si="3"/>
        <v>85</v>
      </c>
      <c r="D101" s="30" t="s">
        <v>120</v>
      </c>
      <c r="E101" s="34" t="s">
        <v>118</v>
      </c>
      <c r="F101" s="23">
        <f t="shared" si="1"/>
        <v>400</v>
      </c>
      <c r="G101" s="24">
        <f>J101*$F$12+F101+Sheet1!$K101+Sheet1!$L101</f>
        <v>2719</v>
      </c>
      <c r="H101" s="25">
        <v>26.0</v>
      </c>
      <c r="I101" s="22"/>
      <c r="J101" s="26">
        <f t="shared" si="2"/>
        <v>26</v>
      </c>
      <c r="K101" s="22"/>
      <c r="L101" s="27">
        <v>5.0</v>
      </c>
      <c r="M101" s="28">
        <f>Sheet1!$F101+$F$12*Sheet1!$J101+Sheet1!$K101+Sheet1!$L101</f>
        <v>2719</v>
      </c>
    </row>
    <row r="102" ht="12.75" customHeight="1">
      <c r="C102" s="20">
        <f t="shared" si="3"/>
        <v>86</v>
      </c>
      <c r="D102" s="30" t="s">
        <v>121</v>
      </c>
      <c r="E102" s="34" t="s">
        <v>118</v>
      </c>
      <c r="F102" s="23">
        <f t="shared" si="1"/>
        <v>400</v>
      </c>
      <c r="G102" s="24">
        <f>J102*$F$12+F102+Sheet1!$K102+Sheet1!$L102</f>
        <v>2340.2</v>
      </c>
      <c r="H102" s="25">
        <v>26.0</v>
      </c>
      <c r="I102" s="22">
        <v>6.0</v>
      </c>
      <c r="J102" s="26">
        <f t="shared" si="2"/>
        <v>21.8</v>
      </c>
      <c r="K102" s="22"/>
      <c r="L102" s="27"/>
      <c r="M102" s="28">
        <f>Sheet1!$F102+$F$12*Sheet1!$J102+Sheet1!$K102+Sheet1!$L102</f>
        <v>2340.2</v>
      </c>
    </row>
    <row r="103" ht="12.75" customHeight="1">
      <c r="C103" s="20">
        <f t="shared" si="3"/>
        <v>87</v>
      </c>
      <c r="D103" s="30" t="s">
        <v>122</v>
      </c>
      <c r="E103" s="34" t="s">
        <v>123</v>
      </c>
      <c r="F103" s="23">
        <f t="shared" si="1"/>
        <v>400</v>
      </c>
      <c r="G103" s="24">
        <f>J103*$F$12+F103+Sheet1!$K103+Sheet1!$L103</f>
        <v>2287.9</v>
      </c>
      <c r="H103" s="25">
        <v>26.0</v>
      </c>
      <c r="I103" s="22">
        <v>7.0</v>
      </c>
      <c r="J103" s="26">
        <f t="shared" si="2"/>
        <v>21.1</v>
      </c>
      <c r="K103" s="22"/>
      <c r="L103" s="27">
        <v>10.0</v>
      </c>
      <c r="M103" s="28">
        <f>Sheet1!$F103+$F$12*Sheet1!$J103+Sheet1!$K103+Sheet1!$L103</f>
        <v>2287.9</v>
      </c>
    </row>
    <row r="104" ht="12.75" customHeight="1">
      <c r="C104" s="20">
        <f t="shared" si="3"/>
        <v>88</v>
      </c>
      <c r="D104" s="30" t="s">
        <v>124</v>
      </c>
      <c r="E104" s="34" t="s">
        <v>125</v>
      </c>
      <c r="F104" s="23">
        <f t="shared" si="1"/>
        <v>400</v>
      </c>
      <c r="G104" s="24">
        <f>J104*$F$12+F104+Sheet1!$K104+Sheet1!$L104</f>
        <v>2469.8</v>
      </c>
      <c r="H104" s="25">
        <v>26.0</v>
      </c>
      <c r="I104" s="22">
        <v>4.0</v>
      </c>
      <c r="J104" s="26">
        <f t="shared" si="2"/>
        <v>23.2</v>
      </c>
      <c r="K104" s="22"/>
      <c r="L104" s="27">
        <v>5.0</v>
      </c>
      <c r="M104" s="28">
        <f>Sheet1!$F104+$F$12*Sheet1!$J104+Sheet1!$K104+Sheet1!$L104</f>
        <v>2469.8</v>
      </c>
    </row>
    <row r="105" ht="12.75" customHeight="1">
      <c r="C105" s="20">
        <f t="shared" si="3"/>
        <v>89</v>
      </c>
      <c r="D105" s="30" t="s">
        <v>126</v>
      </c>
      <c r="E105" s="34" t="s">
        <v>127</v>
      </c>
      <c r="F105" s="23">
        <f t="shared" si="1"/>
        <v>400</v>
      </c>
      <c r="G105" s="24">
        <f>J105*$F$12+F105+Sheet1!$K105+Sheet1!$L105</f>
        <v>2719</v>
      </c>
      <c r="H105" s="25">
        <v>26.0</v>
      </c>
      <c r="I105" s="22"/>
      <c r="J105" s="26">
        <f t="shared" si="2"/>
        <v>26</v>
      </c>
      <c r="K105" s="22"/>
      <c r="L105" s="27">
        <v>5.0</v>
      </c>
      <c r="M105" s="28">
        <f>Sheet1!$F105+$F$12*Sheet1!$J105+Sheet1!$K105+Sheet1!$L105</f>
        <v>2719</v>
      </c>
    </row>
    <row r="106" ht="12.75" customHeight="1">
      <c r="C106" s="20">
        <f t="shared" si="3"/>
        <v>90</v>
      </c>
      <c r="D106" s="30" t="s">
        <v>128</v>
      </c>
      <c r="E106" s="34" t="s">
        <v>129</v>
      </c>
      <c r="F106" s="23">
        <f t="shared" si="1"/>
        <v>400</v>
      </c>
      <c r="G106" s="24">
        <f>J106*$F$12+F106+Sheet1!$K106+Sheet1!$L106</f>
        <v>2734</v>
      </c>
      <c r="H106" s="25">
        <v>26.0</v>
      </c>
      <c r="I106" s="22"/>
      <c r="J106" s="26">
        <f t="shared" si="2"/>
        <v>26</v>
      </c>
      <c r="K106" s="22"/>
      <c r="L106" s="27">
        <v>20.0</v>
      </c>
      <c r="M106" s="28">
        <f>Sheet1!$F106+$F$12*Sheet1!$J106+Sheet1!$K106+Sheet1!$L106</f>
        <v>2734</v>
      </c>
    </row>
    <row r="107" ht="12.75" customHeight="1">
      <c r="C107" s="20">
        <f t="shared" si="3"/>
        <v>91</v>
      </c>
      <c r="D107" s="30" t="s">
        <v>130</v>
      </c>
      <c r="E107" s="34" t="s">
        <v>131</v>
      </c>
      <c r="F107" s="23">
        <f t="shared" si="1"/>
        <v>400</v>
      </c>
      <c r="G107" s="24">
        <f>J107*$F$12+F107+Sheet1!$K107+Sheet1!$L107</f>
        <v>2714</v>
      </c>
      <c r="H107" s="25">
        <v>26.0</v>
      </c>
      <c r="I107" s="22"/>
      <c r="J107" s="26">
        <f t="shared" si="2"/>
        <v>26</v>
      </c>
      <c r="K107" s="22"/>
      <c r="L107" s="27"/>
      <c r="M107" s="28">
        <f>Sheet1!$F107+$F$12*Sheet1!$J107+Sheet1!$K107+Sheet1!$L107</f>
        <v>2714</v>
      </c>
    </row>
    <row r="108" ht="12.75" customHeight="1">
      <c r="C108" s="20">
        <f t="shared" si="3"/>
        <v>92</v>
      </c>
      <c r="D108" s="30" t="s">
        <v>132</v>
      </c>
      <c r="E108" s="34" t="s">
        <v>131</v>
      </c>
      <c r="F108" s="23">
        <f t="shared" si="1"/>
        <v>400</v>
      </c>
      <c r="G108" s="24">
        <f>J108*$F$12+F108+Sheet1!$K108+Sheet1!$L108</f>
        <v>2739</v>
      </c>
      <c r="H108" s="25">
        <v>26.0</v>
      </c>
      <c r="I108" s="22"/>
      <c r="J108" s="26">
        <f t="shared" si="2"/>
        <v>26</v>
      </c>
      <c r="K108" s="22"/>
      <c r="L108" s="27">
        <v>25.0</v>
      </c>
      <c r="M108" s="28">
        <f>Sheet1!$F108+$F$12*Sheet1!$J108+Sheet1!$K108+Sheet1!$L108</f>
        <v>2739</v>
      </c>
    </row>
    <row r="109" ht="12.75" customHeight="1">
      <c r="C109" s="20">
        <f t="shared" si="3"/>
        <v>93</v>
      </c>
      <c r="D109" s="30" t="s">
        <v>133</v>
      </c>
      <c r="E109" s="34" t="s">
        <v>131</v>
      </c>
      <c r="F109" s="23">
        <f t="shared" si="1"/>
        <v>400</v>
      </c>
      <c r="G109" s="24">
        <f>J109*$F$12+F109+Sheet1!$K109+Sheet1!$L109</f>
        <v>2681.7</v>
      </c>
      <c r="H109" s="25">
        <v>26.0</v>
      </c>
      <c r="I109" s="22">
        <v>1.0</v>
      </c>
      <c r="J109" s="26">
        <f t="shared" si="2"/>
        <v>25.3</v>
      </c>
      <c r="K109" s="22"/>
      <c r="L109" s="27">
        <v>30.0</v>
      </c>
      <c r="M109" s="28">
        <f>Sheet1!$F109+$F$12*Sheet1!$J109+Sheet1!$K109+Sheet1!$L109</f>
        <v>2681.7</v>
      </c>
    </row>
    <row r="110" ht="12.75" customHeight="1">
      <c r="C110" s="20">
        <f t="shared" si="3"/>
        <v>94</v>
      </c>
      <c r="D110" s="30" t="s">
        <v>134</v>
      </c>
      <c r="E110" s="34" t="s">
        <v>131</v>
      </c>
      <c r="F110" s="23">
        <f t="shared" si="1"/>
        <v>400</v>
      </c>
      <c r="G110" s="24">
        <f>J110*$F$12+F110+Sheet1!$K110+Sheet1!$L110</f>
        <v>2739</v>
      </c>
      <c r="H110" s="25">
        <v>26.0</v>
      </c>
      <c r="I110" s="22"/>
      <c r="J110" s="26">
        <f t="shared" si="2"/>
        <v>26</v>
      </c>
      <c r="K110" s="22"/>
      <c r="L110" s="27">
        <v>25.0</v>
      </c>
      <c r="M110" s="28">
        <f>Sheet1!$F110+$F$12*Sheet1!$J110+Sheet1!$K110+Sheet1!$L110</f>
        <v>2739</v>
      </c>
    </row>
    <row r="111" ht="12.75" customHeight="1">
      <c r="C111" s="20">
        <f t="shared" si="3"/>
        <v>95</v>
      </c>
      <c r="D111" s="30" t="s">
        <v>135</v>
      </c>
      <c r="E111" s="34" t="s">
        <v>131</v>
      </c>
      <c r="F111" s="23">
        <f t="shared" si="1"/>
        <v>400</v>
      </c>
      <c r="G111" s="24">
        <f>J111*$F$12+F111+Sheet1!$K111+Sheet1!$L111</f>
        <v>2714</v>
      </c>
      <c r="H111" s="25">
        <v>26.0</v>
      </c>
      <c r="I111" s="22"/>
      <c r="J111" s="26">
        <f t="shared" si="2"/>
        <v>26</v>
      </c>
      <c r="K111" s="22"/>
      <c r="L111" s="27"/>
      <c r="M111" s="28">
        <f>Sheet1!$F111+$F$12*Sheet1!$J111+Sheet1!$K111+Sheet1!$L111</f>
        <v>2714</v>
      </c>
    </row>
    <row r="112" ht="12.75" customHeight="1">
      <c r="C112" s="20">
        <f t="shared" si="3"/>
        <v>96</v>
      </c>
      <c r="D112" s="30" t="s">
        <v>136</v>
      </c>
      <c r="E112" s="34" t="s">
        <v>131</v>
      </c>
      <c r="F112" s="23">
        <f t="shared" si="1"/>
        <v>400</v>
      </c>
      <c r="G112" s="24">
        <f>J112*$F$12+F112+Sheet1!$K112+Sheet1!$L112</f>
        <v>2734</v>
      </c>
      <c r="H112" s="25">
        <v>26.0</v>
      </c>
      <c r="I112" s="22"/>
      <c r="J112" s="26">
        <f t="shared" si="2"/>
        <v>26</v>
      </c>
      <c r="K112" s="22"/>
      <c r="L112" s="27">
        <v>20.0</v>
      </c>
      <c r="M112" s="28">
        <f>Sheet1!$F112+$F$12*Sheet1!$J112+Sheet1!$K112+Sheet1!$L112</f>
        <v>2734</v>
      </c>
    </row>
    <row r="113" ht="12.75" customHeight="1">
      <c r="C113" s="20">
        <f t="shared" si="3"/>
        <v>97</v>
      </c>
      <c r="D113" s="30" t="s">
        <v>137</v>
      </c>
      <c r="E113" s="34" t="s">
        <v>131</v>
      </c>
      <c r="F113" s="23">
        <f t="shared" si="1"/>
        <v>400</v>
      </c>
      <c r="G113" s="24">
        <f>J113*$F$12+F113+Sheet1!$K113+Sheet1!$L113</f>
        <v>2724</v>
      </c>
      <c r="H113" s="25">
        <v>26.0</v>
      </c>
      <c r="I113" s="22"/>
      <c r="J113" s="26">
        <f t="shared" si="2"/>
        <v>26</v>
      </c>
      <c r="K113" s="22"/>
      <c r="L113" s="27">
        <v>10.0</v>
      </c>
      <c r="M113" s="28">
        <f>Sheet1!$F113+$F$12*Sheet1!$J113+Sheet1!$K113+Sheet1!$L113</f>
        <v>2724</v>
      </c>
    </row>
    <row r="114" ht="12.75" customHeight="1">
      <c r="C114" s="20">
        <f t="shared" si="3"/>
        <v>98</v>
      </c>
      <c r="D114" s="30" t="s">
        <v>138</v>
      </c>
      <c r="E114" s="34" t="s">
        <v>131</v>
      </c>
      <c r="F114" s="23">
        <f t="shared" si="1"/>
        <v>400</v>
      </c>
      <c r="G114" s="24">
        <f>J114*$F$12+F114+Sheet1!$K114+Sheet1!$L114</f>
        <v>2719</v>
      </c>
      <c r="H114" s="25">
        <v>26.0</v>
      </c>
      <c r="I114" s="22"/>
      <c r="J114" s="26">
        <f t="shared" si="2"/>
        <v>26</v>
      </c>
      <c r="K114" s="22"/>
      <c r="L114" s="27">
        <v>5.0</v>
      </c>
      <c r="M114" s="28">
        <f>Sheet1!$F114+$F$12*Sheet1!$J114+Sheet1!$K114+Sheet1!$L114</f>
        <v>2719</v>
      </c>
    </row>
    <row r="115" ht="12.75" customHeight="1">
      <c r="C115" s="20">
        <f t="shared" si="3"/>
        <v>99</v>
      </c>
      <c r="D115" s="30" t="s">
        <v>139</v>
      </c>
      <c r="E115" s="34" t="s">
        <v>131</v>
      </c>
      <c r="F115" s="23">
        <f t="shared" si="1"/>
        <v>400</v>
      </c>
      <c r="G115" s="24">
        <f>J115*$F$12+F115+Sheet1!$K115+Sheet1!$L115</f>
        <v>2547.1</v>
      </c>
      <c r="H115" s="25">
        <v>26.0</v>
      </c>
      <c r="I115" s="22">
        <v>3.0</v>
      </c>
      <c r="J115" s="26">
        <f t="shared" si="2"/>
        <v>23.9</v>
      </c>
      <c r="K115" s="22"/>
      <c r="L115" s="27">
        <v>20.0</v>
      </c>
      <c r="M115" s="28">
        <f>Sheet1!$F115+$F$12*Sheet1!$J115+Sheet1!$K115+Sheet1!$L115</f>
        <v>2547.1</v>
      </c>
    </row>
    <row r="116" ht="12.75" customHeight="1">
      <c r="C116" s="20">
        <f t="shared" si="3"/>
        <v>100</v>
      </c>
      <c r="D116" s="30" t="s">
        <v>140</v>
      </c>
      <c r="E116" s="34" t="s">
        <v>131</v>
      </c>
      <c r="F116" s="23">
        <f t="shared" si="1"/>
        <v>400</v>
      </c>
      <c r="G116" s="24">
        <f>J116*$F$12+F116+Sheet1!$K116+Sheet1!$L116</f>
        <v>2355.2</v>
      </c>
      <c r="H116" s="25">
        <v>26.0</v>
      </c>
      <c r="I116" s="22">
        <v>6.0</v>
      </c>
      <c r="J116" s="26">
        <f t="shared" si="2"/>
        <v>21.8</v>
      </c>
      <c r="K116" s="22"/>
      <c r="L116" s="27">
        <v>15.0</v>
      </c>
      <c r="M116" s="28">
        <f>Sheet1!$F116+$F$12*Sheet1!$J116+Sheet1!$K116+Sheet1!$L116</f>
        <v>2355.2</v>
      </c>
    </row>
    <row r="117" ht="12.75" customHeight="1">
      <c r="C117" s="20">
        <f t="shared" si="3"/>
        <v>101</v>
      </c>
      <c r="D117" s="30" t="s">
        <v>141</v>
      </c>
      <c r="E117" s="34" t="s">
        <v>131</v>
      </c>
      <c r="F117" s="23">
        <f t="shared" si="1"/>
        <v>400</v>
      </c>
      <c r="G117" s="24">
        <f>J117*$F$12+F117+Sheet1!$K117+Sheet1!$L117</f>
        <v>2215.6</v>
      </c>
      <c r="H117" s="25">
        <v>26.0</v>
      </c>
      <c r="I117" s="22">
        <v>8.0</v>
      </c>
      <c r="J117" s="26">
        <f t="shared" si="2"/>
        <v>20.4</v>
      </c>
      <c r="K117" s="22"/>
      <c r="L117" s="27"/>
      <c r="M117" s="28">
        <f>Sheet1!$F117+$F$12*Sheet1!$J117+Sheet1!$K117+Sheet1!$L117</f>
        <v>2215.6</v>
      </c>
    </row>
    <row r="118" ht="12.75" customHeight="1">
      <c r="C118" s="20">
        <f t="shared" si="3"/>
        <v>102</v>
      </c>
      <c r="D118" s="30" t="s">
        <v>142</v>
      </c>
      <c r="E118" s="34" t="s">
        <v>131</v>
      </c>
      <c r="F118" s="23">
        <f t="shared" si="1"/>
        <v>400</v>
      </c>
      <c r="G118" s="24">
        <f>J118*$F$12+F118+Sheet1!$K118+Sheet1!$L118</f>
        <v>2729</v>
      </c>
      <c r="H118" s="25">
        <v>26.0</v>
      </c>
      <c r="I118" s="22"/>
      <c r="J118" s="26">
        <f t="shared" si="2"/>
        <v>26</v>
      </c>
      <c r="K118" s="22"/>
      <c r="L118" s="27">
        <v>15.0</v>
      </c>
      <c r="M118" s="28">
        <f>Sheet1!$F118+$F$12*Sheet1!$J118+Sheet1!$K118+Sheet1!$L118</f>
        <v>2729</v>
      </c>
    </row>
    <row r="119" ht="12.75" customHeight="1">
      <c r="C119" s="20">
        <f t="shared" si="3"/>
        <v>103</v>
      </c>
      <c r="D119" s="30" t="s">
        <v>143</v>
      </c>
      <c r="E119" s="34" t="s">
        <v>131</v>
      </c>
      <c r="F119" s="23">
        <f t="shared" si="1"/>
        <v>400</v>
      </c>
      <c r="G119" s="24">
        <f>J119*$F$12+F119+Sheet1!$K119+Sheet1!$L119</f>
        <v>2714</v>
      </c>
      <c r="H119" s="25">
        <v>26.0</v>
      </c>
      <c r="I119" s="22"/>
      <c r="J119" s="26">
        <f t="shared" si="2"/>
        <v>26</v>
      </c>
      <c r="K119" s="22"/>
      <c r="L119" s="27"/>
      <c r="M119" s="28">
        <f>Sheet1!$F119+$F$12*Sheet1!$J119+Sheet1!$K119+Sheet1!$L119</f>
        <v>2714</v>
      </c>
    </row>
    <row r="120" ht="12.75" customHeight="1">
      <c r="C120" s="20">
        <f t="shared" si="3"/>
        <v>104</v>
      </c>
      <c r="D120" s="30" t="s">
        <v>144</v>
      </c>
      <c r="E120" s="34" t="s">
        <v>131</v>
      </c>
      <c r="F120" s="23">
        <f t="shared" si="1"/>
        <v>400</v>
      </c>
      <c r="G120" s="24">
        <f>J120*$F$12+F120+Sheet1!$K120+Sheet1!$L120</f>
        <v>2729</v>
      </c>
      <c r="H120" s="25">
        <v>26.0</v>
      </c>
      <c r="I120" s="22"/>
      <c r="J120" s="26">
        <f t="shared" si="2"/>
        <v>26</v>
      </c>
      <c r="K120" s="22"/>
      <c r="L120" s="27">
        <v>15.0</v>
      </c>
      <c r="M120" s="28">
        <f>Sheet1!$F120+$F$12*Sheet1!$J120+Sheet1!$K120+Sheet1!$L120</f>
        <v>2729</v>
      </c>
    </row>
    <row r="121" ht="12.75" customHeight="1">
      <c r="C121" s="20">
        <f t="shared" si="3"/>
        <v>105</v>
      </c>
      <c r="D121" s="30" t="s">
        <v>145</v>
      </c>
      <c r="E121" s="34" t="s">
        <v>131</v>
      </c>
      <c r="F121" s="23">
        <f t="shared" si="1"/>
        <v>400</v>
      </c>
      <c r="G121" s="24">
        <f>J121*$F$12+F121+Sheet1!$K121+Sheet1!$L121</f>
        <v>2719</v>
      </c>
      <c r="H121" s="25">
        <v>26.0</v>
      </c>
      <c r="I121" s="22"/>
      <c r="J121" s="26">
        <f t="shared" si="2"/>
        <v>26</v>
      </c>
      <c r="K121" s="22"/>
      <c r="L121" s="27">
        <v>5.0</v>
      </c>
      <c r="M121" s="28">
        <f>Sheet1!$F121+$F$12*Sheet1!$J121+Sheet1!$K121+Sheet1!$L121</f>
        <v>2719</v>
      </c>
    </row>
    <row r="122" ht="12.75" customHeight="1">
      <c r="C122" s="20">
        <f t="shared" si="3"/>
        <v>106</v>
      </c>
      <c r="D122" s="30" t="s">
        <v>146</v>
      </c>
      <c r="E122" s="34" t="s">
        <v>131</v>
      </c>
      <c r="F122" s="23">
        <f t="shared" si="1"/>
        <v>400</v>
      </c>
      <c r="G122" s="24">
        <f>J122*$F$12+F122+Sheet1!$K122+Sheet1!$L122</f>
        <v>2724</v>
      </c>
      <c r="H122" s="25">
        <v>26.0</v>
      </c>
      <c r="I122" s="22"/>
      <c r="J122" s="26">
        <f t="shared" si="2"/>
        <v>26</v>
      </c>
      <c r="K122" s="22"/>
      <c r="L122" s="27">
        <v>10.0</v>
      </c>
      <c r="M122" s="28">
        <f>Sheet1!$F122+$F$12*Sheet1!$J122+Sheet1!$K122+Sheet1!$L122</f>
        <v>2724</v>
      </c>
    </row>
    <row r="123" ht="12.75" customHeight="1">
      <c r="C123" s="20">
        <f t="shared" si="3"/>
        <v>107</v>
      </c>
      <c r="D123" s="30" t="s">
        <v>147</v>
      </c>
      <c r="E123" s="34" t="s">
        <v>131</v>
      </c>
      <c r="F123" s="23">
        <f t="shared" si="1"/>
        <v>400</v>
      </c>
      <c r="G123" s="24">
        <f>J123*$F$12+F123+Sheet1!$K123+Sheet1!$L123</f>
        <v>2739</v>
      </c>
      <c r="H123" s="25">
        <v>26.0</v>
      </c>
      <c r="I123" s="22"/>
      <c r="J123" s="26">
        <f t="shared" si="2"/>
        <v>26</v>
      </c>
      <c r="K123" s="22"/>
      <c r="L123" s="27">
        <v>25.0</v>
      </c>
      <c r="M123" s="28">
        <f>Sheet1!$F123+$F$12*Sheet1!$J123+Sheet1!$K123+Sheet1!$L123</f>
        <v>2739</v>
      </c>
    </row>
    <row r="124" ht="12.75" customHeight="1">
      <c r="C124" s="20">
        <f t="shared" si="3"/>
        <v>108</v>
      </c>
      <c r="D124" s="30" t="s">
        <v>148</v>
      </c>
      <c r="E124" s="34" t="s">
        <v>131</v>
      </c>
      <c r="F124" s="23">
        <f t="shared" si="1"/>
        <v>400</v>
      </c>
      <c r="G124" s="24">
        <f>J124*$F$12+F124+Sheet1!$K124+Sheet1!$L124</f>
        <v>2719</v>
      </c>
      <c r="H124" s="25">
        <v>26.0</v>
      </c>
      <c r="I124" s="22"/>
      <c r="J124" s="26">
        <f t="shared" si="2"/>
        <v>26</v>
      </c>
      <c r="K124" s="22"/>
      <c r="L124" s="27">
        <v>5.0</v>
      </c>
      <c r="M124" s="28">
        <f>Sheet1!$F124+$F$12*Sheet1!$J124+Sheet1!$K124+Sheet1!$L124</f>
        <v>2719</v>
      </c>
    </row>
    <row r="125" ht="12.75" customHeight="1">
      <c r="C125" s="20">
        <f t="shared" si="3"/>
        <v>109</v>
      </c>
      <c r="D125" s="30" t="s">
        <v>149</v>
      </c>
      <c r="E125" s="34" t="s">
        <v>131</v>
      </c>
      <c r="F125" s="23">
        <f t="shared" si="1"/>
        <v>400</v>
      </c>
      <c r="G125" s="24">
        <f>J125*$F$12+F125+Sheet1!$K125+Sheet1!$L125</f>
        <v>2542.1</v>
      </c>
      <c r="H125" s="25">
        <v>26.0</v>
      </c>
      <c r="I125" s="22">
        <v>3.0</v>
      </c>
      <c r="J125" s="26">
        <f t="shared" si="2"/>
        <v>23.9</v>
      </c>
      <c r="K125" s="22"/>
      <c r="L125" s="27">
        <v>15.0</v>
      </c>
      <c r="M125" s="28">
        <f>Sheet1!$F125+$F$12*Sheet1!$J125+Sheet1!$K125+Sheet1!$L125</f>
        <v>2542.1</v>
      </c>
    </row>
    <row r="126" ht="12.75" customHeight="1">
      <c r="C126" s="20">
        <f t="shared" si="3"/>
        <v>110</v>
      </c>
      <c r="D126" s="30" t="s">
        <v>150</v>
      </c>
      <c r="E126" s="34" t="s">
        <v>131</v>
      </c>
      <c r="F126" s="23">
        <f t="shared" si="1"/>
        <v>400</v>
      </c>
      <c r="G126" s="24">
        <f>J126*$F$12+F126+Sheet1!$K126+Sheet1!$L126</f>
        <v>2350.2</v>
      </c>
      <c r="H126" s="25">
        <v>26.0</v>
      </c>
      <c r="I126" s="22">
        <v>6.0</v>
      </c>
      <c r="J126" s="26">
        <f t="shared" si="2"/>
        <v>21.8</v>
      </c>
      <c r="K126" s="22"/>
      <c r="L126" s="27">
        <v>10.0</v>
      </c>
      <c r="M126" s="28">
        <f>Sheet1!$F126+$F$12*Sheet1!$J126+Sheet1!$K126+Sheet1!$L126</f>
        <v>2350.2</v>
      </c>
    </row>
    <row r="127" ht="12.75" customHeight="1">
      <c r="C127" s="20">
        <f t="shared" si="3"/>
        <v>111</v>
      </c>
      <c r="D127" s="30" t="s">
        <v>151</v>
      </c>
      <c r="E127" s="34" t="s">
        <v>131</v>
      </c>
      <c r="F127" s="23">
        <f t="shared" si="1"/>
        <v>400</v>
      </c>
      <c r="G127" s="24">
        <f>J127*$F$12+F127+Sheet1!$K127+Sheet1!$L127</f>
        <v>2714</v>
      </c>
      <c r="H127" s="25">
        <v>26.0</v>
      </c>
      <c r="I127" s="22"/>
      <c r="J127" s="26">
        <f t="shared" si="2"/>
        <v>26</v>
      </c>
      <c r="K127" s="22"/>
      <c r="L127" s="27"/>
      <c r="M127" s="28">
        <f>Sheet1!$F127+$F$12*Sheet1!$J127+Sheet1!$K127+Sheet1!$L127</f>
        <v>2714</v>
      </c>
    </row>
    <row r="128" ht="12.75" customHeight="1">
      <c r="C128" s="20">
        <f t="shared" si="3"/>
        <v>112</v>
      </c>
      <c r="D128" s="30" t="s">
        <v>152</v>
      </c>
      <c r="E128" s="34" t="s">
        <v>131</v>
      </c>
      <c r="F128" s="23">
        <f t="shared" si="1"/>
        <v>400</v>
      </c>
      <c r="G128" s="24">
        <f>J128*$F$12+F128+Sheet1!$K128+Sheet1!$L128</f>
        <v>2714</v>
      </c>
      <c r="H128" s="25">
        <v>26.0</v>
      </c>
      <c r="I128" s="22"/>
      <c r="J128" s="26">
        <f t="shared" si="2"/>
        <v>26</v>
      </c>
      <c r="K128" s="22"/>
      <c r="L128" s="27"/>
      <c r="M128" s="28">
        <f>Sheet1!$F128+$F$12*Sheet1!$J128+Sheet1!$K128+Sheet1!$L128</f>
        <v>2714</v>
      </c>
    </row>
    <row r="129" ht="12.75" customHeight="1">
      <c r="C129" s="20">
        <f t="shared" si="3"/>
        <v>113</v>
      </c>
      <c r="D129" s="30" t="s">
        <v>153</v>
      </c>
      <c r="E129" s="34" t="s">
        <v>131</v>
      </c>
      <c r="F129" s="23">
        <f t="shared" si="1"/>
        <v>400</v>
      </c>
      <c r="G129" s="24">
        <f>J129*$F$12+F129+Sheet1!$K129+Sheet1!$L129</f>
        <v>2499.8</v>
      </c>
      <c r="H129" s="25">
        <v>26.0</v>
      </c>
      <c r="I129" s="22">
        <v>4.0</v>
      </c>
      <c r="J129" s="26">
        <f t="shared" si="2"/>
        <v>23.2</v>
      </c>
      <c r="K129" s="22"/>
      <c r="L129" s="27">
        <v>35.0</v>
      </c>
      <c r="M129" s="28">
        <f>Sheet1!$F129+$F$12*Sheet1!$J129+Sheet1!$K129+Sheet1!$L129</f>
        <v>2499.8</v>
      </c>
    </row>
    <row r="130" ht="12.75" customHeight="1">
      <c r="C130" s="20">
        <f t="shared" si="3"/>
        <v>114</v>
      </c>
      <c r="D130" s="30" t="s">
        <v>154</v>
      </c>
      <c r="E130" s="34" t="s">
        <v>131</v>
      </c>
      <c r="F130" s="23">
        <f t="shared" si="1"/>
        <v>400</v>
      </c>
      <c r="G130" s="24">
        <f>J130*$F$12+F130+Sheet1!$K130+Sheet1!$L130</f>
        <v>2729</v>
      </c>
      <c r="H130" s="25">
        <v>26.0</v>
      </c>
      <c r="I130" s="22"/>
      <c r="J130" s="26">
        <f t="shared" si="2"/>
        <v>26</v>
      </c>
      <c r="K130" s="22"/>
      <c r="L130" s="27">
        <v>15.0</v>
      </c>
      <c r="M130" s="28">
        <f>Sheet1!$F130+$F$12*Sheet1!$J130+Sheet1!$K130+Sheet1!$L130</f>
        <v>2729</v>
      </c>
    </row>
    <row r="131" ht="12.75" customHeight="1">
      <c r="C131" s="20">
        <f t="shared" si="3"/>
        <v>115</v>
      </c>
      <c r="D131" s="30" t="s">
        <v>155</v>
      </c>
      <c r="E131" s="34" t="s">
        <v>131</v>
      </c>
      <c r="F131" s="23">
        <f t="shared" si="1"/>
        <v>400</v>
      </c>
      <c r="G131" s="24">
        <f>J131*$F$12+F131+Sheet1!$K131+Sheet1!$L131</f>
        <v>2734</v>
      </c>
      <c r="H131" s="25">
        <v>26.0</v>
      </c>
      <c r="I131" s="22"/>
      <c r="J131" s="26">
        <f t="shared" si="2"/>
        <v>26</v>
      </c>
      <c r="K131" s="22"/>
      <c r="L131" s="27">
        <v>20.0</v>
      </c>
      <c r="M131" s="28">
        <f>Sheet1!$F131+$F$12*Sheet1!$J131+Sheet1!$K131+Sheet1!$L131</f>
        <v>2734</v>
      </c>
    </row>
    <row r="132" ht="12.75" customHeight="1">
      <c r="C132" s="20">
        <f t="shared" si="3"/>
        <v>116</v>
      </c>
      <c r="D132" s="30" t="s">
        <v>156</v>
      </c>
      <c r="E132" s="34" t="s">
        <v>131</v>
      </c>
      <c r="F132" s="23">
        <f t="shared" si="1"/>
        <v>400</v>
      </c>
      <c r="G132" s="24">
        <f>J132*$F$12+F132+Sheet1!$K132+Sheet1!$L132</f>
        <v>2527.1</v>
      </c>
      <c r="H132" s="25">
        <v>26.0</v>
      </c>
      <c r="I132" s="22">
        <v>3.0</v>
      </c>
      <c r="J132" s="26">
        <f t="shared" si="2"/>
        <v>23.9</v>
      </c>
      <c r="K132" s="22"/>
      <c r="L132" s="27"/>
      <c r="M132" s="28">
        <f>Sheet1!$F132+$F$12*Sheet1!$J132+Sheet1!$K132+Sheet1!$L132</f>
        <v>2527.1</v>
      </c>
    </row>
    <row r="133" ht="12.75" customHeight="1">
      <c r="C133" s="20">
        <f t="shared" si="3"/>
        <v>117</v>
      </c>
      <c r="D133" s="30" t="s">
        <v>157</v>
      </c>
      <c r="E133" s="34" t="s">
        <v>131</v>
      </c>
      <c r="F133" s="23">
        <f t="shared" si="1"/>
        <v>400</v>
      </c>
      <c r="G133" s="24">
        <f>J133*$F$12+F133+Sheet1!$K133+Sheet1!$L133</f>
        <v>2277.9</v>
      </c>
      <c r="H133" s="25">
        <v>26.0</v>
      </c>
      <c r="I133" s="22">
        <v>7.0</v>
      </c>
      <c r="J133" s="26">
        <f t="shared" si="2"/>
        <v>21.1</v>
      </c>
      <c r="K133" s="22"/>
      <c r="L133" s="27"/>
      <c r="M133" s="28">
        <f>Sheet1!$F133+$F$12*Sheet1!$J133+Sheet1!$K133+Sheet1!$L133</f>
        <v>2277.9</v>
      </c>
    </row>
    <row r="134" ht="12.75" customHeight="1">
      <c r="C134" s="20">
        <f t="shared" si="3"/>
        <v>118</v>
      </c>
      <c r="D134" s="30" t="s">
        <v>158</v>
      </c>
      <c r="E134" s="34" t="s">
        <v>131</v>
      </c>
      <c r="F134" s="23">
        <f t="shared" si="1"/>
        <v>400</v>
      </c>
      <c r="G134" s="24">
        <f>J134*$F$12+F134+Sheet1!$K134+Sheet1!$L134</f>
        <v>2557.1</v>
      </c>
      <c r="H134" s="25">
        <v>26.0</v>
      </c>
      <c r="I134" s="22">
        <v>3.0</v>
      </c>
      <c r="J134" s="26">
        <f t="shared" si="2"/>
        <v>23.9</v>
      </c>
      <c r="K134" s="22"/>
      <c r="L134" s="27">
        <v>30.0</v>
      </c>
      <c r="M134" s="28">
        <f>Sheet1!$F134+$F$12*Sheet1!$J134+Sheet1!$K134+Sheet1!$L134</f>
        <v>2557.1</v>
      </c>
    </row>
    <row r="135" ht="12.75" customHeight="1">
      <c r="C135" s="20">
        <f t="shared" si="3"/>
        <v>119</v>
      </c>
      <c r="D135" s="30" t="s">
        <v>159</v>
      </c>
      <c r="E135" s="34" t="s">
        <v>131</v>
      </c>
      <c r="F135" s="23">
        <f t="shared" si="1"/>
        <v>400</v>
      </c>
      <c r="G135" s="24">
        <f>J135*$F$12+F135+Sheet1!$K135+Sheet1!$L135</f>
        <v>2350.2</v>
      </c>
      <c r="H135" s="25">
        <v>26.0</v>
      </c>
      <c r="I135" s="22">
        <v>6.0</v>
      </c>
      <c r="J135" s="26">
        <f t="shared" si="2"/>
        <v>21.8</v>
      </c>
      <c r="K135" s="22"/>
      <c r="L135" s="27">
        <v>10.0</v>
      </c>
      <c r="M135" s="28">
        <f>Sheet1!$F135+$F$12*Sheet1!$J135+Sheet1!$K135+Sheet1!$L135</f>
        <v>2350.2</v>
      </c>
    </row>
    <row r="136" ht="12.75" customHeight="1">
      <c r="C136" s="20">
        <f t="shared" si="3"/>
        <v>120</v>
      </c>
      <c r="D136" s="30" t="s">
        <v>160</v>
      </c>
      <c r="E136" s="34" t="s">
        <v>131</v>
      </c>
      <c r="F136" s="23">
        <f t="shared" si="1"/>
        <v>400</v>
      </c>
      <c r="G136" s="24">
        <f>J136*$F$12+F136+Sheet1!$K136+Sheet1!$L136</f>
        <v>2340.2</v>
      </c>
      <c r="H136" s="25">
        <v>26.0</v>
      </c>
      <c r="I136" s="22">
        <v>6.0</v>
      </c>
      <c r="J136" s="26">
        <f t="shared" si="2"/>
        <v>21.8</v>
      </c>
      <c r="K136" s="22"/>
      <c r="L136" s="27"/>
      <c r="M136" s="28">
        <f>Sheet1!$F136+$F$12*Sheet1!$J136+Sheet1!$K136+Sheet1!$L136</f>
        <v>2340.2</v>
      </c>
    </row>
    <row r="137" ht="12.75" customHeight="1">
      <c r="C137" s="20">
        <f t="shared" si="3"/>
        <v>121</v>
      </c>
      <c r="D137" s="30" t="s">
        <v>161</v>
      </c>
      <c r="E137" s="34" t="s">
        <v>131</v>
      </c>
      <c r="F137" s="23">
        <f t="shared" si="1"/>
        <v>400</v>
      </c>
      <c r="G137" s="24">
        <f>J137*$F$12+F137+Sheet1!$K137+Sheet1!$L137</f>
        <v>2153.3</v>
      </c>
      <c r="H137" s="25">
        <v>26.0</v>
      </c>
      <c r="I137" s="22">
        <v>9.0</v>
      </c>
      <c r="J137" s="26">
        <f t="shared" si="2"/>
        <v>19.7</v>
      </c>
      <c r="K137" s="22"/>
      <c r="L137" s="27"/>
      <c r="M137" s="28">
        <f>Sheet1!$F137+$F$12*Sheet1!$J137+Sheet1!$K137+Sheet1!$L137</f>
        <v>2153.3</v>
      </c>
    </row>
    <row r="138" ht="12.75" customHeight="1">
      <c r="C138" s="20">
        <f t="shared" si="3"/>
        <v>122</v>
      </c>
      <c r="D138" s="30" t="s">
        <v>162</v>
      </c>
      <c r="E138" s="34" t="s">
        <v>131</v>
      </c>
      <c r="F138" s="23">
        <f t="shared" si="1"/>
        <v>400</v>
      </c>
      <c r="G138" s="24">
        <f>J138*$F$12+F138+Sheet1!$K138+Sheet1!$L138</f>
        <v>2365.2</v>
      </c>
      <c r="H138" s="25">
        <v>26.0</v>
      </c>
      <c r="I138" s="22">
        <v>6.0</v>
      </c>
      <c r="J138" s="26">
        <f t="shared" si="2"/>
        <v>21.8</v>
      </c>
      <c r="K138" s="22"/>
      <c r="L138" s="27">
        <v>25.0</v>
      </c>
      <c r="M138" s="28">
        <f>Sheet1!$F138+$F$12*Sheet1!$J138+Sheet1!$K138+Sheet1!$L138</f>
        <v>2365.2</v>
      </c>
    </row>
    <row r="139" ht="12.75" customHeight="1">
      <c r="C139" s="20">
        <f t="shared" si="3"/>
        <v>123</v>
      </c>
      <c r="D139" s="30" t="s">
        <v>163</v>
      </c>
      <c r="E139" s="34" t="s">
        <v>131</v>
      </c>
      <c r="F139" s="23">
        <f t="shared" si="1"/>
        <v>400</v>
      </c>
      <c r="G139" s="24">
        <f>J139*$F$12+F139+Sheet1!$K139+Sheet1!$L139</f>
        <v>2714</v>
      </c>
      <c r="H139" s="25">
        <v>26.0</v>
      </c>
      <c r="I139" s="22"/>
      <c r="J139" s="26">
        <f t="shared" si="2"/>
        <v>26</v>
      </c>
      <c r="K139" s="22"/>
      <c r="L139" s="27"/>
      <c r="M139" s="28">
        <f>Sheet1!$F139+$F$12*Sheet1!$J139+Sheet1!$K139+Sheet1!$L139</f>
        <v>2714</v>
      </c>
    </row>
    <row r="140" ht="12.75" customHeight="1">
      <c r="C140" s="20">
        <f t="shared" si="3"/>
        <v>124</v>
      </c>
      <c r="D140" s="30" t="s">
        <v>164</v>
      </c>
      <c r="E140" s="34" t="s">
        <v>131</v>
      </c>
      <c r="F140" s="23">
        <f t="shared" si="1"/>
        <v>400</v>
      </c>
      <c r="G140" s="24">
        <f>J140*$F$12+F140+Sheet1!$K140+Sheet1!$L140</f>
        <v>2724</v>
      </c>
      <c r="H140" s="25">
        <v>26.0</v>
      </c>
      <c r="I140" s="22"/>
      <c r="J140" s="26">
        <f t="shared" si="2"/>
        <v>26</v>
      </c>
      <c r="K140" s="22"/>
      <c r="L140" s="27">
        <v>10.0</v>
      </c>
      <c r="M140" s="28">
        <f>Sheet1!$F140+$F$12*Sheet1!$J140+Sheet1!$K140+Sheet1!$L140</f>
        <v>2724</v>
      </c>
    </row>
    <row r="141" ht="12.75" customHeight="1">
      <c r="C141" s="20">
        <f t="shared" si="3"/>
        <v>125</v>
      </c>
      <c r="D141" s="30" t="s">
        <v>165</v>
      </c>
      <c r="E141" s="34" t="s">
        <v>166</v>
      </c>
      <c r="F141" s="23">
        <f t="shared" si="1"/>
        <v>400</v>
      </c>
      <c r="G141" s="24">
        <f>J141*$F$12+F141+Sheet1!$K141+Sheet1!$L141</f>
        <v>2734</v>
      </c>
      <c r="H141" s="25">
        <v>26.0</v>
      </c>
      <c r="I141" s="22"/>
      <c r="J141" s="26">
        <f t="shared" si="2"/>
        <v>26</v>
      </c>
      <c r="K141" s="22"/>
      <c r="L141" s="27">
        <v>20.0</v>
      </c>
      <c r="M141" s="28">
        <f>Sheet1!$F141+$F$12*Sheet1!$J141+Sheet1!$K141+Sheet1!$L141</f>
        <v>2734</v>
      </c>
    </row>
    <row r="142" ht="12.75" customHeight="1">
      <c r="C142" s="20">
        <f t="shared" si="3"/>
        <v>126</v>
      </c>
      <c r="D142" s="30" t="s">
        <v>167</v>
      </c>
      <c r="E142" s="34" t="s">
        <v>166</v>
      </c>
      <c r="F142" s="23">
        <f t="shared" si="1"/>
        <v>400</v>
      </c>
      <c r="G142" s="24">
        <f>J142*$F$12+F142+Sheet1!$K142+Sheet1!$L142</f>
        <v>2006.4</v>
      </c>
      <c r="H142" s="25">
        <v>26.0</v>
      </c>
      <c r="I142" s="27">
        <v>12.0</v>
      </c>
      <c r="J142" s="26">
        <f t="shared" si="2"/>
        <v>17.6</v>
      </c>
      <c r="K142" s="27"/>
      <c r="L142" s="27">
        <v>40.0</v>
      </c>
      <c r="M142" s="28">
        <f>Sheet1!$F142+$F$12*Sheet1!$J142+Sheet1!$K142+Sheet1!$L142</f>
        <v>2006.4</v>
      </c>
    </row>
    <row r="143" ht="12.75" customHeight="1">
      <c r="C143" s="20">
        <f t="shared" si="3"/>
        <v>127</v>
      </c>
      <c r="D143" s="30" t="s">
        <v>168</v>
      </c>
      <c r="E143" s="30" t="s">
        <v>131</v>
      </c>
      <c r="F143" s="23">
        <f t="shared" si="1"/>
        <v>400</v>
      </c>
      <c r="G143" s="24">
        <f>J143*$F$12+F143+Sheet1!$K143+Sheet1!$L143</f>
        <v>2724</v>
      </c>
      <c r="H143" s="25">
        <v>26.0</v>
      </c>
      <c r="I143" s="27"/>
      <c r="J143" s="26">
        <f t="shared" si="2"/>
        <v>26</v>
      </c>
      <c r="K143" s="27"/>
      <c r="L143" s="27">
        <v>10.0</v>
      </c>
      <c r="M143" s="28">
        <f>Sheet1!$F143+$F$12*Sheet1!$J143+Sheet1!$K143+Sheet1!$L143</f>
        <v>2724</v>
      </c>
    </row>
    <row r="144" ht="12.75" customHeight="1">
      <c r="C144" s="20">
        <f t="shared" si="3"/>
        <v>128</v>
      </c>
      <c r="D144" s="36" t="s">
        <v>169</v>
      </c>
      <c r="E144" s="36" t="s">
        <v>90</v>
      </c>
      <c r="F144" s="37">
        <f t="shared" si="1"/>
        <v>400</v>
      </c>
      <c r="G144" s="38">
        <f>J144*$F$12+F144+Sheet1!$K144+Sheet1!$L144</f>
        <v>2724</v>
      </c>
      <c r="H144" s="25">
        <v>26.0</v>
      </c>
      <c r="I144" s="36"/>
      <c r="J144" s="39">
        <f t="shared" si="2"/>
        <v>26</v>
      </c>
      <c r="K144" s="36"/>
      <c r="L144" s="36">
        <v>10.0</v>
      </c>
      <c r="M144" s="40">
        <f>Sheet1!$F144+$F$12*Sheet1!$J144+Sheet1!$K144+Sheet1!$L144</f>
        <v>2724</v>
      </c>
    </row>
    <row r="145" ht="12.75" customHeight="1">
      <c r="C145" s="20">
        <f t="shared" si="3"/>
        <v>129</v>
      </c>
      <c r="D145" s="36" t="s">
        <v>170</v>
      </c>
      <c r="E145" s="36" t="s">
        <v>171</v>
      </c>
      <c r="F145" s="37">
        <f t="shared" si="1"/>
        <v>400</v>
      </c>
      <c r="G145" s="38">
        <f>J145*$F$12+F145+Sheet1!$K145+Sheet1!$L145</f>
        <v>2532.1</v>
      </c>
      <c r="H145" s="25">
        <v>26.0</v>
      </c>
      <c r="I145" s="36">
        <v>3.0</v>
      </c>
      <c r="J145" s="39">
        <f t="shared" si="2"/>
        <v>23.9</v>
      </c>
      <c r="K145" s="36"/>
      <c r="L145" s="36">
        <v>5.0</v>
      </c>
      <c r="M145" s="40">
        <f>Sheet1!$F145+$F$12*Sheet1!$J145+Sheet1!$K145+Sheet1!$L145</f>
        <v>2532.1</v>
      </c>
    </row>
    <row r="146" ht="12.75" customHeight="1">
      <c r="C146" s="20">
        <f t="shared" si="3"/>
        <v>130</v>
      </c>
      <c r="D146" s="36" t="s">
        <v>172</v>
      </c>
      <c r="E146" s="36" t="s">
        <v>171</v>
      </c>
      <c r="F146" s="37">
        <f t="shared" si="1"/>
        <v>400</v>
      </c>
      <c r="G146" s="38">
        <f>J146*$F$12+F146+Sheet1!$K146+Sheet1!$L146</f>
        <v>2215.6</v>
      </c>
      <c r="H146" s="25">
        <v>26.0</v>
      </c>
      <c r="I146" s="36">
        <v>8.0</v>
      </c>
      <c r="J146" s="39">
        <f t="shared" si="2"/>
        <v>20.4</v>
      </c>
      <c r="K146" s="36"/>
      <c r="L146" s="36"/>
      <c r="M146" s="40">
        <f>Sheet1!$F146+$F$12*Sheet1!$J146+Sheet1!$K146+Sheet1!$L146</f>
        <v>2215.6</v>
      </c>
    </row>
    <row r="147" ht="12.75" customHeight="1">
      <c r="C147" s="20">
        <f t="shared" si="3"/>
        <v>131</v>
      </c>
      <c r="D147" s="36" t="s">
        <v>173</v>
      </c>
      <c r="E147" s="36" t="s">
        <v>174</v>
      </c>
      <c r="F147" s="37">
        <f t="shared" si="1"/>
        <v>400</v>
      </c>
      <c r="G147" s="38">
        <f>J147*$F$12+F147+Sheet1!$K147+Sheet1!$L147</f>
        <v>1379</v>
      </c>
      <c r="H147" s="25">
        <v>11.0</v>
      </c>
      <c r="I147" s="36"/>
      <c r="J147" s="39">
        <f t="shared" si="2"/>
        <v>11</v>
      </c>
      <c r="K147" s="36"/>
      <c r="L147" s="41"/>
      <c r="M147" s="40">
        <f>Sheet1!$F147+$F$12*Sheet1!$J147+Sheet1!$K147+Sheet1!$L147</f>
        <v>1379</v>
      </c>
    </row>
    <row r="148" ht="12.75" customHeight="1">
      <c r="C148" s="20">
        <f t="shared" si="3"/>
        <v>132</v>
      </c>
      <c r="D148" s="36" t="s">
        <v>175</v>
      </c>
      <c r="E148" s="36" t="s">
        <v>118</v>
      </c>
      <c r="F148" s="37">
        <f t="shared" si="1"/>
        <v>400</v>
      </c>
      <c r="G148" s="38">
        <f>J148*$F$12+F148+Sheet1!$K148+Sheet1!$L148</f>
        <v>2447</v>
      </c>
      <c r="H148" s="36">
        <v>23.0</v>
      </c>
      <c r="I148" s="36"/>
      <c r="J148" s="39">
        <f t="shared" si="2"/>
        <v>23</v>
      </c>
      <c r="K148" s="36"/>
      <c r="L148" s="36"/>
      <c r="M148" s="40">
        <f>Sheet1!$F148+$F$12*Sheet1!$J148+Sheet1!$K148+Sheet1!$L148</f>
        <v>2447</v>
      </c>
    </row>
    <row r="149" ht="12.75" customHeight="1">
      <c r="C149" s="20">
        <f t="shared" si="3"/>
        <v>133</v>
      </c>
      <c r="D149" s="36" t="s">
        <v>176</v>
      </c>
      <c r="E149" s="36" t="s">
        <v>177</v>
      </c>
      <c r="F149" s="37">
        <f t="shared" si="1"/>
        <v>400</v>
      </c>
      <c r="G149" s="38">
        <f>J149*$F$12+F149+Sheet1!$K149+Sheet1!$L149</f>
        <v>2719</v>
      </c>
      <c r="H149" s="42">
        <v>26.0</v>
      </c>
      <c r="I149" s="36"/>
      <c r="J149" s="39">
        <f t="shared" si="2"/>
        <v>26</v>
      </c>
      <c r="K149" s="36"/>
      <c r="L149" s="36">
        <v>5.0</v>
      </c>
      <c r="M149" s="40">
        <f>Sheet1!$F149+$F$12*Sheet1!$J149+Sheet1!$K149+Sheet1!$L149</f>
        <v>2719</v>
      </c>
    </row>
    <row r="150" ht="12.75" customHeight="1">
      <c r="C150" s="20">
        <f t="shared" si="3"/>
        <v>134</v>
      </c>
      <c r="D150" s="43" t="s">
        <v>178</v>
      </c>
      <c r="E150" s="36" t="s">
        <v>25</v>
      </c>
      <c r="F150" s="37">
        <f t="shared" si="1"/>
        <v>400</v>
      </c>
      <c r="G150" s="38">
        <f>J150*$F$12+F150+Sheet1!$K150+Sheet1!$L150</f>
        <v>2714</v>
      </c>
      <c r="H150" s="36">
        <v>26.0</v>
      </c>
      <c r="I150" s="42"/>
      <c r="J150" s="36">
        <v>26.0</v>
      </c>
      <c r="K150" s="36"/>
      <c r="L150" s="36"/>
      <c r="M150" s="40">
        <f>Sheet1!$F150+$F$12*Sheet1!$J150+Sheet1!$K150+Sheet1!$L150</f>
        <v>2714</v>
      </c>
    </row>
    <row r="151" ht="12.75" customHeight="1">
      <c r="C151" s="20">
        <f t="shared" si="3"/>
        <v>135</v>
      </c>
      <c r="D151" s="36" t="s">
        <v>179</v>
      </c>
      <c r="E151" s="36" t="s">
        <v>25</v>
      </c>
      <c r="F151" s="37">
        <f t="shared" si="1"/>
        <v>400</v>
      </c>
      <c r="G151" s="38">
        <f>J151*$F$12+F151+Sheet1!$K151+Sheet1!$L151</f>
        <v>2714</v>
      </c>
      <c r="H151" s="36">
        <v>26.0</v>
      </c>
      <c r="I151" s="36"/>
      <c r="J151" s="36">
        <v>26.0</v>
      </c>
      <c r="K151" s="36"/>
      <c r="L151" s="36"/>
      <c r="M151" s="40">
        <f>Sheet1!$F151+$F$12*Sheet1!$J151+Sheet1!$K151+Sheet1!$L151</f>
        <v>2714</v>
      </c>
    </row>
    <row r="152" ht="12.75" customHeight="1">
      <c r="C152" s="44"/>
      <c r="D152" s="44"/>
      <c r="E152" s="44"/>
      <c r="F152" s="44"/>
      <c r="G152" s="45"/>
      <c r="H152" s="44"/>
      <c r="I152" s="44"/>
      <c r="J152" s="44"/>
      <c r="K152" s="44"/>
      <c r="L152" s="44"/>
      <c r="M152" s="45"/>
    </row>
    <row r="153" ht="12.75" customHeight="1">
      <c r="C153" s="44"/>
      <c r="D153" s="44"/>
      <c r="E153" s="44"/>
      <c r="F153" s="44"/>
      <c r="G153" s="45"/>
      <c r="H153" s="44"/>
      <c r="I153" s="44"/>
      <c r="J153" s="46"/>
      <c r="K153" s="44"/>
      <c r="L153" s="44"/>
      <c r="M153" s="45"/>
    </row>
    <row r="154" ht="12.75" customHeight="1">
      <c r="C154" s="44"/>
      <c r="D154" s="44"/>
      <c r="E154" s="44"/>
      <c r="F154" s="44"/>
      <c r="G154" s="45"/>
      <c r="H154" s="44"/>
      <c r="I154" s="44"/>
      <c r="J154" s="44"/>
      <c r="K154" s="44"/>
      <c r="L154" s="44"/>
      <c r="M154" s="45"/>
    </row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hyperlinks>
    <hyperlink r:id="rId1" ref="C16"/>
  </hyperlinks>
  <printOptions/>
  <pageMargins bottom="0.7480314960629921" footer="0.0" header="0.0" left="0.7086614173228346" right="0.7086614173228346" top="0.7480314960629921"/>
  <pageSetup fitToHeight="0" paperSize="9"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9.0"/>
    <col customWidth="1" min="5" max="5" width="27.63"/>
    <col customWidth="1" min="6" max="6" width="16.75"/>
    <col customWidth="1" min="7" max="8" width="17.88"/>
    <col customWidth="1" min="9" max="9" width="14.25"/>
    <col customWidth="1" min="10" max="10" width="20.38"/>
    <col customWidth="1" min="11" max="11" width="12.38"/>
    <col customWidth="1" min="12" max="12" width="10.0"/>
    <col customWidth="1" min="13" max="26" width="12.0"/>
  </cols>
  <sheetData>
    <row r="2" ht="15.0" customHeight="1">
      <c r="E2" s="4"/>
      <c r="F2" s="5" t="s">
        <v>0</v>
      </c>
      <c r="G2" s="6"/>
      <c r="H2" s="6"/>
    </row>
    <row r="3" ht="15.0" customHeight="1">
      <c r="E3" s="7"/>
      <c r="F3" s="5" t="s">
        <v>1</v>
      </c>
      <c r="G3" s="5">
        <v>2025.0</v>
      </c>
      <c r="H3" s="4" t="s">
        <v>2</v>
      </c>
    </row>
    <row r="4" ht="15.0" customHeight="1">
      <c r="E4" s="47" t="s">
        <v>3</v>
      </c>
      <c r="F4" s="48">
        <v>0.0</v>
      </c>
      <c r="G4" s="47" t="s">
        <v>4</v>
      </c>
      <c r="H4" s="49">
        <v>49000.0</v>
      </c>
    </row>
    <row r="5" ht="15.0" customHeight="1">
      <c r="E5" s="50" t="s">
        <v>5</v>
      </c>
      <c r="F5" s="51">
        <f>2045*97</f>
        <v>198365</v>
      </c>
      <c r="G5" s="50" t="s">
        <v>6</v>
      </c>
      <c r="H5" s="52">
        <v>6000.0</v>
      </c>
    </row>
    <row r="6" ht="15.0" customHeight="1">
      <c r="E6" s="50" t="s">
        <v>7</v>
      </c>
      <c r="F6" s="53">
        <v>1260.0</v>
      </c>
      <c r="G6" s="50" t="s">
        <v>8</v>
      </c>
      <c r="H6" s="52">
        <v>4500.0</v>
      </c>
    </row>
    <row r="7" ht="15.0" customHeight="1">
      <c r="E7" s="50" t="s">
        <v>9</v>
      </c>
      <c r="F7" s="53">
        <v>2000.0</v>
      </c>
      <c r="G7" s="50" t="s">
        <v>10</v>
      </c>
      <c r="H7" s="52">
        <v>15000.0</v>
      </c>
    </row>
    <row r="8" ht="15.0" customHeight="1">
      <c r="E8" s="50" t="s">
        <v>11</v>
      </c>
      <c r="F8" s="54">
        <v>89.0</v>
      </c>
      <c r="G8" s="50"/>
      <c r="H8" s="52"/>
    </row>
    <row r="9" ht="15.0" customHeight="1">
      <c r="E9" s="50" t="s">
        <v>12</v>
      </c>
      <c r="F9" s="54">
        <v>400.0</v>
      </c>
      <c r="G9" s="55"/>
      <c r="H9" s="56"/>
    </row>
    <row r="10" ht="15.0" customHeight="1">
      <c r="E10" s="57"/>
      <c r="F10" s="58"/>
      <c r="G10" s="57"/>
      <c r="H10" s="59"/>
    </row>
    <row r="12" ht="15.0" customHeight="1">
      <c r="E12" s="1"/>
      <c r="F12" s="1"/>
      <c r="G12" s="1"/>
      <c r="H12" s="1"/>
    </row>
    <row r="13" ht="15.0" customHeight="1">
      <c r="D13" s="60"/>
      <c r="E13" s="61"/>
      <c r="F13" s="62"/>
      <c r="G13" s="63"/>
      <c r="H13" s="63"/>
    </row>
    <row r="14" ht="15.0" customHeight="1">
      <c r="D14" s="64" t="s">
        <v>13</v>
      </c>
      <c r="E14" s="65" t="s">
        <v>14</v>
      </c>
      <c r="F14" s="65" t="s">
        <v>15</v>
      </c>
      <c r="G14" s="66" t="s">
        <v>16</v>
      </c>
      <c r="H14" s="66" t="s">
        <v>18</v>
      </c>
      <c r="I14" s="66" t="s">
        <v>19</v>
      </c>
      <c r="J14" s="66" t="s">
        <v>20</v>
      </c>
      <c r="K14" s="67" t="s">
        <v>180</v>
      </c>
      <c r="L14" s="67" t="s">
        <v>22</v>
      </c>
      <c r="M14" s="68" t="s">
        <v>181</v>
      </c>
      <c r="N14" s="67" t="s">
        <v>23</v>
      </c>
    </row>
    <row r="15" ht="15.0" customHeight="1">
      <c r="D15" s="69">
        <v>1.0</v>
      </c>
      <c r="E15" s="70" t="s">
        <v>182</v>
      </c>
      <c r="F15" s="70" t="s">
        <v>183</v>
      </c>
      <c r="G15" s="69">
        <f t="shared" ref="G15:G166" si="1">$F$9</f>
        <v>400</v>
      </c>
      <c r="H15" s="71">
        <v>26.0</v>
      </c>
      <c r="I15" s="69">
        <v>13.0</v>
      </c>
      <c r="J15" s="72">
        <f t="shared" ref="J15:J166" si="2">H15-(I15*0.7)</f>
        <v>16.9</v>
      </c>
      <c r="K15" s="72"/>
      <c r="L15" s="72"/>
      <c r="M15" s="69"/>
      <c r="N15" s="73">
        <f t="shared" ref="N15:N56" si="3">J15*$F$8+G15+M15+L15+K15</f>
        <v>1904.1</v>
      </c>
    </row>
    <row r="16" ht="15.0" customHeight="1">
      <c r="D16" s="69">
        <f t="shared" ref="D16:D166" si="4">D15+1</f>
        <v>2</v>
      </c>
      <c r="E16" s="70" t="s">
        <v>184</v>
      </c>
      <c r="F16" s="70" t="s">
        <v>183</v>
      </c>
      <c r="G16" s="69">
        <f t="shared" si="1"/>
        <v>400</v>
      </c>
      <c r="H16" s="71">
        <v>26.0</v>
      </c>
      <c r="I16" s="69">
        <v>3.0</v>
      </c>
      <c r="J16" s="72">
        <f t="shared" si="2"/>
        <v>23.9</v>
      </c>
      <c r="K16" s="72"/>
      <c r="L16" s="72">
        <v>5.0</v>
      </c>
      <c r="M16" s="69"/>
      <c r="N16" s="73">
        <f t="shared" si="3"/>
        <v>2532.1</v>
      </c>
    </row>
    <row r="17" ht="15.0" customHeight="1">
      <c r="D17" s="69">
        <f t="shared" si="4"/>
        <v>3</v>
      </c>
      <c r="E17" s="70" t="s">
        <v>185</v>
      </c>
      <c r="F17" s="70" t="s">
        <v>183</v>
      </c>
      <c r="G17" s="69">
        <f t="shared" si="1"/>
        <v>400</v>
      </c>
      <c r="H17" s="71">
        <v>26.0</v>
      </c>
      <c r="I17" s="69">
        <v>3.0</v>
      </c>
      <c r="J17" s="72">
        <f t="shared" si="2"/>
        <v>23.9</v>
      </c>
      <c r="K17" s="72"/>
      <c r="L17" s="72"/>
      <c r="M17" s="69"/>
      <c r="N17" s="73">
        <f t="shared" si="3"/>
        <v>2527.1</v>
      </c>
    </row>
    <row r="18" ht="15.0" customHeight="1">
      <c r="D18" s="69">
        <f t="shared" si="4"/>
        <v>4</v>
      </c>
      <c r="E18" s="70" t="s">
        <v>186</v>
      </c>
      <c r="F18" s="70" t="s">
        <v>187</v>
      </c>
      <c r="G18" s="69">
        <f t="shared" si="1"/>
        <v>400</v>
      </c>
      <c r="H18" s="71">
        <v>26.0</v>
      </c>
      <c r="I18" s="69">
        <v>8.0</v>
      </c>
      <c r="J18" s="72">
        <f t="shared" si="2"/>
        <v>20.4</v>
      </c>
      <c r="K18" s="72">
        <v>30.0</v>
      </c>
      <c r="L18" s="72">
        <v>5.0</v>
      </c>
      <c r="M18" s="69"/>
      <c r="N18" s="73">
        <f t="shared" si="3"/>
        <v>2250.6</v>
      </c>
    </row>
    <row r="19" ht="15.0" customHeight="1">
      <c r="D19" s="69">
        <f t="shared" si="4"/>
        <v>5</v>
      </c>
      <c r="E19" s="70" t="s">
        <v>188</v>
      </c>
      <c r="F19" s="70" t="s">
        <v>183</v>
      </c>
      <c r="G19" s="69">
        <f t="shared" si="1"/>
        <v>400</v>
      </c>
      <c r="H19" s="71">
        <v>26.0</v>
      </c>
      <c r="I19" s="69">
        <v>4.0</v>
      </c>
      <c r="J19" s="72">
        <f t="shared" si="2"/>
        <v>23.2</v>
      </c>
      <c r="K19" s="72"/>
      <c r="L19" s="72">
        <v>10.0</v>
      </c>
      <c r="M19" s="69"/>
      <c r="N19" s="73">
        <f t="shared" si="3"/>
        <v>2474.8</v>
      </c>
    </row>
    <row r="20" ht="15.0" customHeight="1">
      <c r="D20" s="69">
        <f t="shared" si="4"/>
        <v>6</v>
      </c>
      <c r="E20" s="70" t="s">
        <v>189</v>
      </c>
      <c r="F20" s="70" t="s">
        <v>183</v>
      </c>
      <c r="G20" s="69">
        <f t="shared" si="1"/>
        <v>400</v>
      </c>
      <c r="H20" s="71">
        <v>26.0</v>
      </c>
      <c r="I20" s="69">
        <v>4.0</v>
      </c>
      <c r="J20" s="72">
        <f t="shared" si="2"/>
        <v>23.2</v>
      </c>
      <c r="K20" s="72"/>
      <c r="L20" s="72"/>
      <c r="M20" s="69"/>
      <c r="N20" s="73">
        <f t="shared" si="3"/>
        <v>2464.8</v>
      </c>
    </row>
    <row r="21" ht="15.0" customHeight="1">
      <c r="D21" s="69">
        <f t="shared" si="4"/>
        <v>7</v>
      </c>
      <c r="E21" s="70" t="s">
        <v>190</v>
      </c>
      <c r="F21" s="70" t="s">
        <v>183</v>
      </c>
      <c r="G21" s="69">
        <f t="shared" si="1"/>
        <v>400</v>
      </c>
      <c r="H21" s="71">
        <v>26.0</v>
      </c>
      <c r="I21" s="69"/>
      <c r="J21" s="72">
        <f t="shared" si="2"/>
        <v>26</v>
      </c>
      <c r="K21" s="72"/>
      <c r="L21" s="72">
        <v>5.0</v>
      </c>
      <c r="M21" s="69"/>
      <c r="N21" s="73">
        <f t="shared" si="3"/>
        <v>2719</v>
      </c>
    </row>
    <row r="22" ht="15.0" customHeight="1">
      <c r="D22" s="69">
        <f t="shared" si="4"/>
        <v>8</v>
      </c>
      <c r="E22" s="70" t="s">
        <v>191</v>
      </c>
      <c r="F22" s="70" t="s">
        <v>183</v>
      </c>
      <c r="G22" s="69">
        <f t="shared" si="1"/>
        <v>400</v>
      </c>
      <c r="H22" s="71">
        <v>26.0</v>
      </c>
      <c r="I22" s="69">
        <v>3.0</v>
      </c>
      <c r="J22" s="72">
        <f t="shared" si="2"/>
        <v>23.9</v>
      </c>
      <c r="K22" s="72"/>
      <c r="L22" s="72">
        <v>10.0</v>
      </c>
      <c r="M22" s="69"/>
      <c r="N22" s="73">
        <f t="shared" si="3"/>
        <v>2537.1</v>
      </c>
    </row>
    <row r="23" ht="15.0" customHeight="1">
      <c r="D23" s="69">
        <f t="shared" si="4"/>
        <v>9</v>
      </c>
      <c r="E23" s="70" t="s">
        <v>192</v>
      </c>
      <c r="F23" s="70" t="s">
        <v>183</v>
      </c>
      <c r="G23" s="69">
        <f t="shared" si="1"/>
        <v>400</v>
      </c>
      <c r="H23" s="71">
        <v>26.0</v>
      </c>
      <c r="I23" s="69">
        <v>4.0</v>
      </c>
      <c r="J23" s="72">
        <f t="shared" si="2"/>
        <v>23.2</v>
      </c>
      <c r="K23" s="72"/>
      <c r="L23" s="72"/>
      <c r="M23" s="69"/>
      <c r="N23" s="73">
        <f t="shared" si="3"/>
        <v>2464.8</v>
      </c>
    </row>
    <row r="24" ht="15.0" customHeight="1">
      <c r="D24" s="69">
        <f t="shared" si="4"/>
        <v>10</v>
      </c>
      <c r="E24" s="70" t="s">
        <v>193</v>
      </c>
      <c r="F24" s="70" t="s">
        <v>183</v>
      </c>
      <c r="G24" s="69">
        <f t="shared" si="1"/>
        <v>400</v>
      </c>
      <c r="H24" s="71">
        <v>26.0</v>
      </c>
      <c r="I24" s="69">
        <v>3.0</v>
      </c>
      <c r="J24" s="72">
        <f t="shared" si="2"/>
        <v>23.9</v>
      </c>
      <c r="K24" s="72">
        <v>45.0</v>
      </c>
      <c r="L24" s="72">
        <v>5.0</v>
      </c>
      <c r="M24" s="69"/>
      <c r="N24" s="73">
        <f t="shared" si="3"/>
        <v>2577.1</v>
      </c>
    </row>
    <row r="25" ht="15.0" customHeight="1">
      <c r="D25" s="69">
        <f t="shared" si="4"/>
        <v>11</v>
      </c>
      <c r="E25" s="74" t="s">
        <v>194</v>
      </c>
      <c r="F25" s="70" t="s">
        <v>183</v>
      </c>
      <c r="G25" s="69">
        <f t="shared" si="1"/>
        <v>400</v>
      </c>
      <c r="H25" s="71">
        <v>26.0</v>
      </c>
      <c r="I25" s="69">
        <v>7.0</v>
      </c>
      <c r="J25" s="72">
        <f t="shared" si="2"/>
        <v>21.1</v>
      </c>
      <c r="K25" s="72"/>
      <c r="L25" s="72">
        <v>10.0</v>
      </c>
      <c r="M25" s="69"/>
      <c r="N25" s="73">
        <f t="shared" si="3"/>
        <v>2287.9</v>
      </c>
    </row>
    <row r="26" ht="16.5" customHeight="1">
      <c r="D26" s="69">
        <f t="shared" si="4"/>
        <v>12</v>
      </c>
      <c r="E26" s="70" t="s">
        <v>195</v>
      </c>
      <c r="F26" s="70" t="s">
        <v>183</v>
      </c>
      <c r="G26" s="69">
        <f t="shared" si="1"/>
        <v>400</v>
      </c>
      <c r="H26" s="71">
        <v>26.0</v>
      </c>
      <c r="I26" s="69">
        <v>4.0</v>
      </c>
      <c r="J26" s="72">
        <f t="shared" si="2"/>
        <v>23.2</v>
      </c>
      <c r="K26" s="72"/>
      <c r="L26" s="72">
        <v>25.0</v>
      </c>
      <c r="M26" s="69"/>
      <c r="N26" s="73">
        <f t="shared" si="3"/>
        <v>2489.8</v>
      </c>
    </row>
    <row r="27" ht="15.0" customHeight="1">
      <c r="D27" s="69">
        <f t="shared" si="4"/>
        <v>13</v>
      </c>
      <c r="E27" s="70" t="s">
        <v>196</v>
      </c>
      <c r="F27" s="70" t="s">
        <v>183</v>
      </c>
      <c r="G27" s="69">
        <f t="shared" si="1"/>
        <v>400</v>
      </c>
      <c r="H27" s="71">
        <v>26.0</v>
      </c>
      <c r="I27" s="69">
        <v>11.0</v>
      </c>
      <c r="J27" s="72">
        <f t="shared" si="2"/>
        <v>18.3</v>
      </c>
      <c r="K27" s="72"/>
      <c r="L27" s="72">
        <v>15.0</v>
      </c>
      <c r="M27" s="69"/>
      <c r="N27" s="73">
        <f t="shared" si="3"/>
        <v>2043.7</v>
      </c>
    </row>
    <row r="28" ht="15.0" customHeight="1">
      <c r="D28" s="69">
        <f t="shared" si="4"/>
        <v>14</v>
      </c>
      <c r="E28" s="70" t="s">
        <v>197</v>
      </c>
      <c r="F28" s="70" t="s">
        <v>198</v>
      </c>
      <c r="G28" s="69">
        <f t="shared" si="1"/>
        <v>400</v>
      </c>
      <c r="H28" s="71">
        <v>26.0</v>
      </c>
      <c r="I28" s="69">
        <v>4.0</v>
      </c>
      <c r="J28" s="72">
        <f t="shared" si="2"/>
        <v>23.2</v>
      </c>
      <c r="K28" s="72"/>
      <c r="L28" s="72"/>
      <c r="M28" s="69"/>
      <c r="N28" s="73">
        <f t="shared" si="3"/>
        <v>2464.8</v>
      </c>
    </row>
    <row r="29" ht="15.0" customHeight="1">
      <c r="D29" s="69">
        <f t="shared" si="4"/>
        <v>15</v>
      </c>
      <c r="E29" s="70" t="s">
        <v>199</v>
      </c>
      <c r="F29" s="70" t="s">
        <v>198</v>
      </c>
      <c r="G29" s="69">
        <f t="shared" si="1"/>
        <v>400</v>
      </c>
      <c r="H29" s="71">
        <v>26.0</v>
      </c>
      <c r="I29" s="69">
        <v>3.0</v>
      </c>
      <c r="J29" s="72">
        <f t="shared" si="2"/>
        <v>23.9</v>
      </c>
      <c r="K29" s="72">
        <v>225.0</v>
      </c>
      <c r="L29" s="72"/>
      <c r="M29" s="69"/>
      <c r="N29" s="73">
        <f t="shared" si="3"/>
        <v>2752.1</v>
      </c>
    </row>
    <row r="30" ht="15.0" customHeight="1">
      <c r="D30" s="69">
        <f t="shared" si="4"/>
        <v>16</v>
      </c>
      <c r="E30" s="70" t="s">
        <v>200</v>
      </c>
      <c r="F30" s="70" t="s">
        <v>198</v>
      </c>
      <c r="G30" s="69">
        <f t="shared" si="1"/>
        <v>400</v>
      </c>
      <c r="H30" s="71">
        <v>26.0</v>
      </c>
      <c r="I30" s="69">
        <v>13.0</v>
      </c>
      <c r="J30" s="72">
        <f t="shared" si="2"/>
        <v>16.9</v>
      </c>
      <c r="K30" s="72">
        <v>95.0</v>
      </c>
      <c r="L30" s="72"/>
      <c r="M30" s="69"/>
      <c r="N30" s="73">
        <f t="shared" si="3"/>
        <v>1999.1</v>
      </c>
    </row>
    <row r="31" ht="15.0" customHeight="1">
      <c r="D31" s="69">
        <f t="shared" si="4"/>
        <v>17</v>
      </c>
      <c r="E31" s="70" t="s">
        <v>201</v>
      </c>
      <c r="F31" s="70" t="s">
        <v>198</v>
      </c>
      <c r="G31" s="69">
        <f t="shared" si="1"/>
        <v>400</v>
      </c>
      <c r="H31" s="71">
        <v>26.0</v>
      </c>
      <c r="I31" s="69"/>
      <c r="J31" s="72">
        <f t="shared" si="2"/>
        <v>26</v>
      </c>
      <c r="K31" s="72"/>
      <c r="L31" s="72"/>
      <c r="M31" s="69"/>
      <c r="N31" s="73">
        <f t="shared" si="3"/>
        <v>2714</v>
      </c>
    </row>
    <row r="32" ht="15.0" customHeight="1">
      <c r="D32" s="69">
        <f t="shared" si="4"/>
        <v>18</v>
      </c>
      <c r="E32" s="70" t="s">
        <v>202</v>
      </c>
      <c r="F32" s="70" t="s">
        <v>198</v>
      </c>
      <c r="G32" s="69">
        <f t="shared" si="1"/>
        <v>400</v>
      </c>
      <c r="H32" s="71">
        <v>26.0</v>
      </c>
      <c r="I32" s="69">
        <v>6.0</v>
      </c>
      <c r="J32" s="72">
        <f t="shared" si="2"/>
        <v>21.8</v>
      </c>
      <c r="K32" s="72">
        <v>40.0</v>
      </c>
      <c r="L32" s="72"/>
      <c r="M32" s="69"/>
      <c r="N32" s="73">
        <f t="shared" si="3"/>
        <v>2380.2</v>
      </c>
    </row>
    <row r="33" ht="15.0" customHeight="1">
      <c r="D33" s="69">
        <f t="shared" si="4"/>
        <v>19</v>
      </c>
      <c r="E33" s="74" t="s">
        <v>203</v>
      </c>
      <c r="F33" s="70" t="s">
        <v>198</v>
      </c>
      <c r="G33" s="69">
        <f t="shared" si="1"/>
        <v>400</v>
      </c>
      <c r="H33" s="71">
        <v>26.0</v>
      </c>
      <c r="I33" s="69">
        <v>3.0</v>
      </c>
      <c r="J33" s="72">
        <f t="shared" si="2"/>
        <v>23.9</v>
      </c>
      <c r="K33" s="72"/>
      <c r="L33" s="72"/>
      <c r="M33" s="69"/>
      <c r="N33" s="73">
        <f t="shared" si="3"/>
        <v>2527.1</v>
      </c>
    </row>
    <row r="34" ht="15.0" customHeight="1">
      <c r="D34" s="69">
        <f t="shared" si="4"/>
        <v>20</v>
      </c>
      <c r="E34" s="70" t="s">
        <v>204</v>
      </c>
      <c r="F34" s="70" t="s">
        <v>198</v>
      </c>
      <c r="G34" s="69">
        <f t="shared" si="1"/>
        <v>400</v>
      </c>
      <c r="H34" s="71">
        <v>26.0</v>
      </c>
      <c r="I34" s="69">
        <v>3.0</v>
      </c>
      <c r="J34" s="72">
        <f t="shared" si="2"/>
        <v>23.9</v>
      </c>
      <c r="K34" s="72"/>
      <c r="L34" s="72"/>
      <c r="M34" s="69"/>
      <c r="N34" s="73">
        <f t="shared" si="3"/>
        <v>2527.1</v>
      </c>
    </row>
    <row r="35" ht="15.0" customHeight="1">
      <c r="D35" s="69">
        <f t="shared" si="4"/>
        <v>21</v>
      </c>
      <c r="E35" s="74" t="s">
        <v>205</v>
      </c>
      <c r="F35" s="70" t="s">
        <v>198</v>
      </c>
      <c r="G35" s="69">
        <f t="shared" si="1"/>
        <v>400</v>
      </c>
      <c r="H35" s="71">
        <v>26.0</v>
      </c>
      <c r="I35" s="69">
        <v>4.0</v>
      </c>
      <c r="J35" s="72">
        <f t="shared" si="2"/>
        <v>23.2</v>
      </c>
      <c r="K35" s="72"/>
      <c r="L35" s="72">
        <v>10.0</v>
      </c>
      <c r="M35" s="69"/>
      <c r="N35" s="73">
        <f t="shared" si="3"/>
        <v>2474.8</v>
      </c>
    </row>
    <row r="36" ht="15.0" customHeight="1">
      <c r="D36" s="69">
        <f t="shared" si="4"/>
        <v>22</v>
      </c>
      <c r="E36" s="70" t="s">
        <v>206</v>
      </c>
      <c r="F36" s="70" t="s">
        <v>198</v>
      </c>
      <c r="G36" s="69">
        <f t="shared" si="1"/>
        <v>400</v>
      </c>
      <c r="H36" s="71">
        <v>26.0</v>
      </c>
      <c r="I36" s="69"/>
      <c r="J36" s="72">
        <f t="shared" si="2"/>
        <v>26</v>
      </c>
      <c r="K36" s="72"/>
      <c r="L36" s="72"/>
      <c r="M36" s="69"/>
      <c r="N36" s="73">
        <f t="shared" si="3"/>
        <v>2714</v>
      </c>
    </row>
    <row r="37" ht="15.0" customHeight="1">
      <c r="C37" s="75"/>
      <c r="D37" s="69">
        <f t="shared" si="4"/>
        <v>23</v>
      </c>
      <c r="E37" s="70" t="s">
        <v>207</v>
      </c>
      <c r="F37" s="70" t="s">
        <v>198</v>
      </c>
      <c r="G37" s="69">
        <f t="shared" si="1"/>
        <v>400</v>
      </c>
      <c r="H37" s="71">
        <v>26.0</v>
      </c>
      <c r="I37" s="69">
        <v>9.0</v>
      </c>
      <c r="J37" s="72">
        <f t="shared" si="2"/>
        <v>19.7</v>
      </c>
      <c r="K37" s="72"/>
      <c r="L37" s="72"/>
      <c r="M37" s="69"/>
      <c r="N37" s="73">
        <f t="shared" si="3"/>
        <v>2153.3</v>
      </c>
    </row>
    <row r="38" ht="15.0" customHeight="1">
      <c r="D38" s="69">
        <f t="shared" si="4"/>
        <v>24</v>
      </c>
      <c r="E38" s="70" t="s">
        <v>208</v>
      </c>
      <c r="F38" s="70" t="s">
        <v>198</v>
      </c>
      <c r="G38" s="69">
        <f t="shared" si="1"/>
        <v>400</v>
      </c>
      <c r="H38" s="71">
        <v>26.0</v>
      </c>
      <c r="I38" s="69">
        <v>7.0</v>
      </c>
      <c r="J38" s="72">
        <f t="shared" si="2"/>
        <v>21.1</v>
      </c>
      <c r="K38" s="72"/>
      <c r="L38" s="72"/>
      <c r="M38" s="69"/>
      <c r="N38" s="73">
        <f t="shared" si="3"/>
        <v>2277.9</v>
      </c>
    </row>
    <row r="39" ht="15.0" customHeight="1">
      <c r="D39" s="69">
        <f t="shared" si="4"/>
        <v>25</v>
      </c>
      <c r="E39" s="70" t="s">
        <v>209</v>
      </c>
      <c r="F39" s="70" t="s">
        <v>198</v>
      </c>
      <c r="G39" s="69">
        <f t="shared" si="1"/>
        <v>400</v>
      </c>
      <c r="H39" s="71">
        <v>26.0</v>
      </c>
      <c r="I39" s="69"/>
      <c r="J39" s="72">
        <f t="shared" si="2"/>
        <v>26</v>
      </c>
      <c r="K39" s="72"/>
      <c r="L39" s="72"/>
      <c r="M39" s="69"/>
      <c r="N39" s="73">
        <f t="shared" si="3"/>
        <v>2714</v>
      </c>
    </row>
    <row r="40" ht="15.0" customHeight="1">
      <c r="D40" s="69">
        <f t="shared" si="4"/>
        <v>26</v>
      </c>
      <c r="E40" s="70" t="s">
        <v>210</v>
      </c>
      <c r="F40" s="70" t="s">
        <v>198</v>
      </c>
      <c r="G40" s="69">
        <f t="shared" si="1"/>
        <v>400</v>
      </c>
      <c r="H40" s="71">
        <v>26.0</v>
      </c>
      <c r="I40" s="69"/>
      <c r="J40" s="72">
        <f t="shared" si="2"/>
        <v>26</v>
      </c>
      <c r="K40" s="72"/>
      <c r="L40" s="72"/>
      <c r="M40" s="69"/>
      <c r="N40" s="73">
        <f t="shared" si="3"/>
        <v>2714</v>
      </c>
    </row>
    <row r="41" ht="15.0" customHeight="1">
      <c r="D41" s="69">
        <f t="shared" si="4"/>
        <v>27</v>
      </c>
      <c r="E41" s="70" t="s">
        <v>211</v>
      </c>
      <c r="F41" s="70" t="s">
        <v>212</v>
      </c>
      <c r="G41" s="69">
        <f t="shared" si="1"/>
        <v>400</v>
      </c>
      <c r="H41" s="71">
        <v>26.0</v>
      </c>
      <c r="I41" s="69">
        <v>7.0</v>
      </c>
      <c r="J41" s="72">
        <f t="shared" si="2"/>
        <v>21.1</v>
      </c>
      <c r="K41" s="72"/>
      <c r="L41" s="72"/>
      <c r="M41" s="69"/>
      <c r="N41" s="73">
        <f t="shared" si="3"/>
        <v>2277.9</v>
      </c>
    </row>
    <row r="42" ht="15.0" customHeight="1">
      <c r="D42" s="69">
        <f t="shared" si="4"/>
        <v>28</v>
      </c>
      <c r="E42" s="70" t="s">
        <v>213</v>
      </c>
      <c r="F42" s="70" t="s">
        <v>212</v>
      </c>
      <c r="G42" s="69">
        <f t="shared" si="1"/>
        <v>400</v>
      </c>
      <c r="H42" s="71">
        <v>26.0</v>
      </c>
      <c r="I42" s="69">
        <v>3.0</v>
      </c>
      <c r="J42" s="72">
        <f t="shared" si="2"/>
        <v>23.9</v>
      </c>
      <c r="K42" s="72"/>
      <c r="L42" s="72"/>
      <c r="M42" s="69"/>
      <c r="N42" s="73">
        <f t="shared" si="3"/>
        <v>2527.1</v>
      </c>
    </row>
    <row r="43" ht="15.0" customHeight="1">
      <c r="C43" s="75"/>
      <c r="D43" s="69">
        <f t="shared" si="4"/>
        <v>29</v>
      </c>
      <c r="E43" s="70" t="s">
        <v>214</v>
      </c>
      <c r="F43" s="70" t="s">
        <v>212</v>
      </c>
      <c r="G43" s="69">
        <f t="shared" si="1"/>
        <v>400</v>
      </c>
      <c r="H43" s="71">
        <v>26.0</v>
      </c>
      <c r="I43" s="69">
        <v>12.0</v>
      </c>
      <c r="J43" s="72">
        <f t="shared" si="2"/>
        <v>17.6</v>
      </c>
      <c r="K43" s="72"/>
      <c r="L43" s="72"/>
      <c r="M43" s="69"/>
      <c r="N43" s="73">
        <f t="shared" si="3"/>
        <v>1966.4</v>
      </c>
    </row>
    <row r="44" ht="15.0" customHeight="1">
      <c r="D44" s="69">
        <f t="shared" si="4"/>
        <v>30</v>
      </c>
      <c r="E44" s="74" t="s">
        <v>215</v>
      </c>
      <c r="F44" s="70" t="s">
        <v>212</v>
      </c>
      <c r="G44" s="69">
        <f t="shared" si="1"/>
        <v>400</v>
      </c>
      <c r="H44" s="71">
        <v>26.0</v>
      </c>
      <c r="I44" s="69">
        <v>7.0</v>
      </c>
      <c r="J44" s="72">
        <f t="shared" si="2"/>
        <v>21.1</v>
      </c>
      <c r="K44" s="72"/>
      <c r="L44" s="72"/>
      <c r="M44" s="69"/>
      <c r="N44" s="73">
        <f t="shared" si="3"/>
        <v>2277.9</v>
      </c>
    </row>
    <row r="45" ht="15.0" customHeight="1">
      <c r="D45" s="69">
        <f t="shared" si="4"/>
        <v>31</v>
      </c>
      <c r="E45" s="70" t="s">
        <v>216</v>
      </c>
      <c r="F45" s="70" t="s">
        <v>212</v>
      </c>
      <c r="G45" s="69">
        <f t="shared" si="1"/>
        <v>400</v>
      </c>
      <c r="H45" s="71">
        <v>26.0</v>
      </c>
      <c r="I45" s="69">
        <v>6.0</v>
      </c>
      <c r="J45" s="72">
        <f t="shared" si="2"/>
        <v>21.8</v>
      </c>
      <c r="K45" s="72"/>
      <c r="L45" s="72"/>
      <c r="M45" s="69"/>
      <c r="N45" s="73">
        <f t="shared" si="3"/>
        <v>2340.2</v>
      </c>
    </row>
    <row r="46" ht="15.0" customHeight="1">
      <c r="D46" s="69">
        <f t="shared" si="4"/>
        <v>32</v>
      </c>
      <c r="E46" s="70" t="s">
        <v>217</v>
      </c>
      <c r="F46" s="70" t="s">
        <v>218</v>
      </c>
      <c r="G46" s="69">
        <f t="shared" si="1"/>
        <v>400</v>
      </c>
      <c r="H46" s="71">
        <v>26.0</v>
      </c>
      <c r="I46" s="69">
        <v>12.0</v>
      </c>
      <c r="J46" s="72">
        <f t="shared" si="2"/>
        <v>17.6</v>
      </c>
      <c r="K46" s="72"/>
      <c r="L46" s="72">
        <v>5.0</v>
      </c>
      <c r="M46" s="69"/>
      <c r="N46" s="73">
        <f t="shared" si="3"/>
        <v>1971.4</v>
      </c>
    </row>
    <row r="47" ht="15.0" customHeight="1">
      <c r="D47" s="69">
        <f t="shared" si="4"/>
        <v>33</v>
      </c>
      <c r="E47" s="70" t="s">
        <v>219</v>
      </c>
      <c r="F47" s="70" t="s">
        <v>25</v>
      </c>
      <c r="G47" s="69">
        <f t="shared" si="1"/>
        <v>400</v>
      </c>
      <c r="H47" s="71">
        <v>26.0</v>
      </c>
      <c r="I47" s="69"/>
      <c r="J47" s="72">
        <f t="shared" si="2"/>
        <v>26</v>
      </c>
      <c r="K47" s="72"/>
      <c r="L47" s="72">
        <v>5.0</v>
      </c>
      <c r="M47" s="69"/>
      <c r="N47" s="73">
        <f t="shared" si="3"/>
        <v>2719</v>
      </c>
    </row>
    <row r="48" ht="15.0" customHeight="1">
      <c r="D48" s="69">
        <f t="shared" si="4"/>
        <v>34</v>
      </c>
      <c r="E48" s="70" t="s">
        <v>220</v>
      </c>
      <c r="F48" s="70" t="s">
        <v>25</v>
      </c>
      <c r="G48" s="69">
        <f t="shared" si="1"/>
        <v>400</v>
      </c>
      <c r="H48" s="71">
        <v>26.0</v>
      </c>
      <c r="I48" s="69">
        <v>3.0</v>
      </c>
      <c r="J48" s="72">
        <f t="shared" si="2"/>
        <v>23.9</v>
      </c>
      <c r="K48" s="72"/>
      <c r="L48" s="72">
        <v>5.0</v>
      </c>
      <c r="M48" s="69"/>
      <c r="N48" s="73">
        <f t="shared" si="3"/>
        <v>2532.1</v>
      </c>
    </row>
    <row r="49" ht="15.0" customHeight="1">
      <c r="D49" s="69">
        <f t="shared" si="4"/>
        <v>35</v>
      </c>
      <c r="E49" s="70" t="s">
        <v>221</v>
      </c>
      <c r="F49" s="70" t="s">
        <v>222</v>
      </c>
      <c r="G49" s="69">
        <f t="shared" si="1"/>
        <v>400</v>
      </c>
      <c r="H49" s="71">
        <v>26.0</v>
      </c>
      <c r="I49" s="69"/>
      <c r="J49" s="72">
        <f t="shared" si="2"/>
        <v>26</v>
      </c>
      <c r="K49" s="72"/>
      <c r="L49" s="72"/>
      <c r="M49" s="69"/>
      <c r="N49" s="73">
        <f t="shared" si="3"/>
        <v>2714</v>
      </c>
    </row>
    <row r="50" ht="15.0" customHeight="1">
      <c r="D50" s="69">
        <f t="shared" si="4"/>
        <v>36</v>
      </c>
      <c r="E50" s="70" t="s">
        <v>223</v>
      </c>
      <c r="F50" s="70" t="s">
        <v>222</v>
      </c>
      <c r="G50" s="69">
        <f t="shared" si="1"/>
        <v>400</v>
      </c>
      <c r="H50" s="71">
        <v>26.0</v>
      </c>
      <c r="I50" s="69">
        <v>3.0</v>
      </c>
      <c r="J50" s="72">
        <f t="shared" si="2"/>
        <v>23.9</v>
      </c>
      <c r="K50" s="72"/>
      <c r="L50" s="72"/>
      <c r="M50" s="69"/>
      <c r="N50" s="73">
        <f t="shared" si="3"/>
        <v>2527.1</v>
      </c>
    </row>
    <row r="51" ht="15.0" customHeight="1">
      <c r="D51" s="69">
        <f t="shared" si="4"/>
        <v>37</v>
      </c>
      <c r="E51" s="70" t="s">
        <v>224</v>
      </c>
      <c r="F51" s="70" t="s">
        <v>222</v>
      </c>
      <c r="G51" s="69">
        <f t="shared" si="1"/>
        <v>400</v>
      </c>
      <c r="H51" s="71">
        <v>26.0</v>
      </c>
      <c r="I51" s="69">
        <v>6.0</v>
      </c>
      <c r="J51" s="72">
        <f t="shared" si="2"/>
        <v>21.8</v>
      </c>
      <c r="K51" s="72"/>
      <c r="L51" s="72"/>
      <c r="M51" s="69"/>
      <c r="N51" s="73">
        <f t="shared" si="3"/>
        <v>2340.2</v>
      </c>
    </row>
    <row r="52" ht="15.0" customHeight="1">
      <c r="D52" s="69">
        <f t="shared" si="4"/>
        <v>38</v>
      </c>
      <c r="E52" s="70" t="s">
        <v>225</v>
      </c>
      <c r="F52" s="70" t="s">
        <v>222</v>
      </c>
      <c r="G52" s="69">
        <f t="shared" si="1"/>
        <v>400</v>
      </c>
      <c r="H52" s="71">
        <v>26.0</v>
      </c>
      <c r="I52" s="69">
        <v>3.0</v>
      </c>
      <c r="J52" s="72">
        <f t="shared" si="2"/>
        <v>23.9</v>
      </c>
      <c r="K52" s="72"/>
      <c r="L52" s="72">
        <v>5.0</v>
      </c>
      <c r="M52" s="69"/>
      <c r="N52" s="73">
        <f t="shared" si="3"/>
        <v>2532.1</v>
      </c>
    </row>
    <row r="53" ht="15.0" customHeight="1">
      <c r="D53" s="69">
        <f t="shared" si="4"/>
        <v>39</v>
      </c>
      <c r="E53" s="70" t="s">
        <v>226</v>
      </c>
      <c r="F53" s="70" t="s">
        <v>222</v>
      </c>
      <c r="G53" s="69">
        <f t="shared" si="1"/>
        <v>400</v>
      </c>
      <c r="H53" s="71">
        <v>26.0</v>
      </c>
      <c r="I53" s="69">
        <v>6.0</v>
      </c>
      <c r="J53" s="72">
        <f t="shared" si="2"/>
        <v>21.8</v>
      </c>
      <c r="K53" s="72"/>
      <c r="L53" s="72"/>
      <c r="M53" s="69"/>
      <c r="N53" s="73">
        <f t="shared" si="3"/>
        <v>2340.2</v>
      </c>
    </row>
    <row r="54" ht="15.0" customHeight="1">
      <c r="D54" s="69">
        <f t="shared" si="4"/>
        <v>40</v>
      </c>
      <c r="E54" s="70" t="s">
        <v>227</v>
      </c>
      <c r="F54" s="70" t="s">
        <v>222</v>
      </c>
      <c r="G54" s="69">
        <f t="shared" si="1"/>
        <v>400</v>
      </c>
      <c r="H54" s="71">
        <v>26.0</v>
      </c>
      <c r="I54" s="69">
        <v>15.0</v>
      </c>
      <c r="J54" s="72">
        <f t="shared" si="2"/>
        <v>15.5</v>
      </c>
      <c r="K54" s="72">
        <v>250.0</v>
      </c>
      <c r="L54" s="72"/>
      <c r="M54" s="69"/>
      <c r="N54" s="73">
        <f t="shared" si="3"/>
        <v>2029.5</v>
      </c>
    </row>
    <row r="55" ht="15.0" customHeight="1">
      <c r="D55" s="69">
        <f t="shared" si="4"/>
        <v>41</v>
      </c>
      <c r="E55" s="70" t="s">
        <v>228</v>
      </c>
      <c r="F55" s="70" t="s">
        <v>229</v>
      </c>
      <c r="G55" s="69">
        <f t="shared" si="1"/>
        <v>400</v>
      </c>
      <c r="H55" s="71">
        <v>26.0</v>
      </c>
      <c r="I55" s="69"/>
      <c r="J55" s="72">
        <f t="shared" si="2"/>
        <v>26</v>
      </c>
      <c r="K55" s="72"/>
      <c r="L55" s="72"/>
      <c r="M55" s="69"/>
      <c r="N55" s="73">
        <f t="shared" si="3"/>
        <v>2714</v>
      </c>
    </row>
    <row r="56" ht="15.0" customHeight="1">
      <c r="D56" s="69">
        <f t="shared" si="4"/>
        <v>42</v>
      </c>
      <c r="E56" s="70" t="s">
        <v>230</v>
      </c>
      <c r="F56" s="70" t="s">
        <v>229</v>
      </c>
      <c r="G56" s="69">
        <f t="shared" si="1"/>
        <v>400</v>
      </c>
      <c r="H56" s="71">
        <v>26.0</v>
      </c>
      <c r="I56" s="69">
        <v>13.0</v>
      </c>
      <c r="J56" s="72">
        <f t="shared" si="2"/>
        <v>16.9</v>
      </c>
      <c r="K56" s="72">
        <v>45.0</v>
      </c>
      <c r="L56" s="72"/>
      <c r="M56" s="69"/>
      <c r="N56" s="73">
        <f t="shared" si="3"/>
        <v>1949.1</v>
      </c>
    </row>
    <row r="57" ht="15.0" customHeight="1">
      <c r="D57" s="69">
        <f t="shared" si="4"/>
        <v>43</v>
      </c>
      <c r="E57" s="70" t="s">
        <v>231</v>
      </c>
      <c r="F57" s="70" t="s">
        <v>229</v>
      </c>
      <c r="G57" s="69">
        <f t="shared" si="1"/>
        <v>400</v>
      </c>
      <c r="H57" s="71">
        <v>26.0</v>
      </c>
      <c r="I57" s="69">
        <v>10.0</v>
      </c>
      <c r="J57" s="72">
        <f t="shared" si="2"/>
        <v>19</v>
      </c>
      <c r="K57" s="72"/>
      <c r="L57" s="72"/>
      <c r="M57" s="69"/>
      <c r="N57" s="73">
        <v>2610.0</v>
      </c>
    </row>
    <row r="58" ht="15.0" customHeight="1">
      <c r="D58" s="69">
        <f t="shared" si="4"/>
        <v>44</v>
      </c>
      <c r="E58" s="70" t="s">
        <v>232</v>
      </c>
      <c r="F58" s="70" t="s">
        <v>229</v>
      </c>
      <c r="G58" s="69">
        <f t="shared" si="1"/>
        <v>400</v>
      </c>
      <c r="H58" s="71">
        <v>26.0</v>
      </c>
      <c r="I58" s="69">
        <v>8.0</v>
      </c>
      <c r="J58" s="72">
        <f t="shared" si="2"/>
        <v>20.4</v>
      </c>
      <c r="K58" s="72"/>
      <c r="L58" s="72"/>
      <c r="M58" s="69"/>
      <c r="N58" s="73">
        <f t="shared" ref="N58:N166" si="5">J58*$F$8+G58+M58+L58+K58</f>
        <v>2215.6</v>
      </c>
    </row>
    <row r="59" ht="15.0" customHeight="1">
      <c r="D59" s="69">
        <f t="shared" si="4"/>
        <v>45</v>
      </c>
      <c r="E59" s="70" t="s">
        <v>233</v>
      </c>
      <c r="F59" s="70" t="s">
        <v>229</v>
      </c>
      <c r="G59" s="69">
        <f t="shared" si="1"/>
        <v>400</v>
      </c>
      <c r="H59" s="71">
        <v>26.0</v>
      </c>
      <c r="I59" s="69">
        <v>7.0</v>
      </c>
      <c r="J59" s="72">
        <f t="shared" si="2"/>
        <v>21.1</v>
      </c>
      <c r="K59" s="72"/>
      <c r="L59" s="72"/>
      <c r="M59" s="69"/>
      <c r="N59" s="73">
        <f t="shared" si="5"/>
        <v>2277.9</v>
      </c>
    </row>
    <row r="60" ht="15.0" customHeight="1">
      <c r="D60" s="69">
        <f t="shared" si="4"/>
        <v>46</v>
      </c>
      <c r="E60" s="70" t="s">
        <v>234</v>
      </c>
      <c r="F60" s="70" t="s">
        <v>229</v>
      </c>
      <c r="G60" s="69">
        <f t="shared" si="1"/>
        <v>400</v>
      </c>
      <c r="H60" s="71">
        <v>26.0</v>
      </c>
      <c r="I60" s="69"/>
      <c r="J60" s="72">
        <f t="shared" si="2"/>
        <v>26</v>
      </c>
      <c r="K60" s="72">
        <v>180.0</v>
      </c>
      <c r="L60" s="72"/>
      <c r="M60" s="69"/>
      <c r="N60" s="73">
        <f t="shared" si="5"/>
        <v>2894</v>
      </c>
    </row>
    <row r="61" ht="15.0" customHeight="1">
      <c r="D61" s="69">
        <f t="shared" si="4"/>
        <v>47</v>
      </c>
      <c r="E61" s="70" t="s">
        <v>235</v>
      </c>
      <c r="F61" s="70" t="s">
        <v>236</v>
      </c>
      <c r="G61" s="69">
        <f t="shared" si="1"/>
        <v>400</v>
      </c>
      <c r="H61" s="71">
        <v>26.0</v>
      </c>
      <c r="I61" s="69">
        <v>7.0</v>
      </c>
      <c r="J61" s="72">
        <f t="shared" si="2"/>
        <v>21.1</v>
      </c>
      <c r="K61" s="72"/>
      <c r="L61" s="72"/>
      <c r="M61" s="69"/>
      <c r="N61" s="73">
        <f t="shared" si="5"/>
        <v>2277.9</v>
      </c>
    </row>
    <row r="62" ht="15.0" customHeight="1">
      <c r="D62" s="69">
        <f t="shared" si="4"/>
        <v>48</v>
      </c>
      <c r="E62" s="70" t="s">
        <v>237</v>
      </c>
      <c r="F62" s="70" t="s">
        <v>236</v>
      </c>
      <c r="G62" s="69">
        <f t="shared" si="1"/>
        <v>400</v>
      </c>
      <c r="H62" s="71">
        <v>26.0</v>
      </c>
      <c r="I62" s="69">
        <v>15.0</v>
      </c>
      <c r="J62" s="72">
        <f t="shared" si="2"/>
        <v>15.5</v>
      </c>
      <c r="K62" s="72"/>
      <c r="L62" s="72"/>
      <c r="M62" s="69"/>
      <c r="N62" s="73">
        <f t="shared" si="5"/>
        <v>1779.5</v>
      </c>
    </row>
    <row r="63" ht="15.0" customHeight="1">
      <c r="D63" s="69">
        <f t="shared" si="4"/>
        <v>49</v>
      </c>
      <c r="E63" s="70" t="s">
        <v>238</v>
      </c>
      <c r="F63" s="70" t="s">
        <v>236</v>
      </c>
      <c r="G63" s="69">
        <f t="shared" si="1"/>
        <v>400</v>
      </c>
      <c r="H63" s="71">
        <v>26.0</v>
      </c>
      <c r="I63" s="69"/>
      <c r="J63" s="72">
        <f t="shared" si="2"/>
        <v>26</v>
      </c>
      <c r="K63" s="72"/>
      <c r="L63" s="72"/>
      <c r="M63" s="69"/>
      <c r="N63" s="73">
        <f t="shared" si="5"/>
        <v>2714</v>
      </c>
    </row>
    <row r="64" ht="15.0" customHeight="1">
      <c r="D64" s="69">
        <f t="shared" si="4"/>
        <v>50</v>
      </c>
      <c r="E64" s="70" t="s">
        <v>239</v>
      </c>
      <c r="F64" s="70" t="s">
        <v>236</v>
      </c>
      <c r="G64" s="69">
        <f t="shared" si="1"/>
        <v>400</v>
      </c>
      <c r="H64" s="71">
        <v>26.0</v>
      </c>
      <c r="I64" s="69">
        <v>3.0</v>
      </c>
      <c r="J64" s="72">
        <f t="shared" si="2"/>
        <v>23.9</v>
      </c>
      <c r="K64" s="72"/>
      <c r="L64" s="72">
        <v>5.0</v>
      </c>
      <c r="M64" s="69"/>
      <c r="N64" s="73">
        <f t="shared" si="5"/>
        <v>2532.1</v>
      </c>
    </row>
    <row r="65" ht="15.0" customHeight="1">
      <c r="D65" s="69">
        <f t="shared" si="4"/>
        <v>51</v>
      </c>
      <c r="E65" s="70" t="s">
        <v>240</v>
      </c>
      <c r="F65" s="70" t="s">
        <v>236</v>
      </c>
      <c r="G65" s="69">
        <f t="shared" si="1"/>
        <v>400</v>
      </c>
      <c r="H65" s="71">
        <v>26.0</v>
      </c>
      <c r="I65" s="69">
        <v>5.0</v>
      </c>
      <c r="J65" s="72">
        <f t="shared" si="2"/>
        <v>22.5</v>
      </c>
      <c r="K65" s="72"/>
      <c r="L65" s="72"/>
      <c r="M65" s="69"/>
      <c r="N65" s="73">
        <f t="shared" si="5"/>
        <v>2402.5</v>
      </c>
    </row>
    <row r="66" ht="15.0" customHeight="1">
      <c r="D66" s="69">
        <f t="shared" si="4"/>
        <v>52</v>
      </c>
      <c r="E66" s="70" t="s">
        <v>241</v>
      </c>
      <c r="F66" s="70" t="s">
        <v>236</v>
      </c>
      <c r="G66" s="69">
        <f t="shared" si="1"/>
        <v>400</v>
      </c>
      <c r="H66" s="71">
        <v>26.0</v>
      </c>
      <c r="I66" s="69">
        <v>3.0</v>
      </c>
      <c r="J66" s="72">
        <f t="shared" si="2"/>
        <v>23.9</v>
      </c>
      <c r="K66" s="72"/>
      <c r="L66" s="72"/>
      <c r="M66" s="69"/>
      <c r="N66" s="73">
        <f t="shared" si="5"/>
        <v>2527.1</v>
      </c>
    </row>
    <row r="67" ht="15.0" customHeight="1">
      <c r="D67" s="69">
        <f t="shared" si="4"/>
        <v>53</v>
      </c>
      <c r="E67" s="70" t="s">
        <v>242</v>
      </c>
      <c r="F67" s="70" t="s">
        <v>236</v>
      </c>
      <c r="G67" s="69">
        <f t="shared" si="1"/>
        <v>400</v>
      </c>
      <c r="H67" s="71">
        <v>26.0</v>
      </c>
      <c r="I67" s="69">
        <v>12.0</v>
      </c>
      <c r="J67" s="72">
        <f t="shared" si="2"/>
        <v>17.6</v>
      </c>
      <c r="K67" s="72"/>
      <c r="L67" s="72"/>
      <c r="M67" s="69"/>
      <c r="N67" s="73">
        <f t="shared" si="5"/>
        <v>1966.4</v>
      </c>
    </row>
    <row r="68" ht="15.0" customHeight="1">
      <c r="D68" s="69">
        <f t="shared" si="4"/>
        <v>54</v>
      </c>
      <c r="E68" s="70" t="s">
        <v>243</v>
      </c>
      <c r="F68" s="70" t="s">
        <v>236</v>
      </c>
      <c r="G68" s="69">
        <f t="shared" si="1"/>
        <v>400</v>
      </c>
      <c r="H68" s="71">
        <v>26.0</v>
      </c>
      <c r="I68" s="69">
        <v>9.0</v>
      </c>
      <c r="J68" s="72">
        <f t="shared" si="2"/>
        <v>19.7</v>
      </c>
      <c r="K68" s="72"/>
      <c r="L68" s="72"/>
      <c r="M68" s="69"/>
      <c r="N68" s="73">
        <f t="shared" si="5"/>
        <v>2153.3</v>
      </c>
    </row>
    <row r="69" ht="15.0" customHeight="1">
      <c r="D69" s="69">
        <f t="shared" si="4"/>
        <v>55</v>
      </c>
      <c r="E69" s="70" t="s">
        <v>244</v>
      </c>
      <c r="F69" s="70" t="s">
        <v>236</v>
      </c>
      <c r="G69" s="69">
        <f t="shared" si="1"/>
        <v>400</v>
      </c>
      <c r="H69" s="71">
        <v>26.0</v>
      </c>
      <c r="I69" s="69"/>
      <c r="J69" s="72">
        <f t="shared" si="2"/>
        <v>26</v>
      </c>
      <c r="K69" s="72"/>
      <c r="L69" s="72"/>
      <c r="M69" s="69"/>
      <c r="N69" s="73">
        <f t="shared" si="5"/>
        <v>2714</v>
      </c>
    </row>
    <row r="70" ht="15.0" customHeight="1">
      <c r="D70" s="69">
        <f t="shared" si="4"/>
        <v>56</v>
      </c>
      <c r="E70" s="70" t="s">
        <v>245</v>
      </c>
      <c r="F70" s="70" t="s">
        <v>236</v>
      </c>
      <c r="G70" s="69">
        <f t="shared" si="1"/>
        <v>400</v>
      </c>
      <c r="H70" s="71">
        <v>26.0</v>
      </c>
      <c r="I70" s="69">
        <v>8.0</v>
      </c>
      <c r="J70" s="72">
        <f t="shared" si="2"/>
        <v>20.4</v>
      </c>
      <c r="K70" s="72"/>
      <c r="L70" s="72"/>
      <c r="M70" s="69"/>
      <c r="N70" s="73">
        <f t="shared" si="5"/>
        <v>2215.6</v>
      </c>
    </row>
    <row r="71" ht="15.0" customHeight="1">
      <c r="D71" s="69">
        <f t="shared" si="4"/>
        <v>57</v>
      </c>
      <c r="E71" s="70" t="s">
        <v>246</v>
      </c>
      <c r="F71" s="70" t="s">
        <v>236</v>
      </c>
      <c r="G71" s="69">
        <f t="shared" si="1"/>
        <v>400</v>
      </c>
      <c r="H71" s="71">
        <v>26.0</v>
      </c>
      <c r="I71" s="69">
        <v>7.0</v>
      </c>
      <c r="J71" s="72">
        <f t="shared" si="2"/>
        <v>21.1</v>
      </c>
      <c r="K71" s="72"/>
      <c r="L71" s="72"/>
      <c r="M71" s="69"/>
      <c r="N71" s="73">
        <f t="shared" si="5"/>
        <v>2277.9</v>
      </c>
    </row>
    <row r="72" ht="15.0" customHeight="1">
      <c r="D72" s="69">
        <f t="shared" si="4"/>
        <v>58</v>
      </c>
      <c r="E72" s="70" t="s">
        <v>247</v>
      </c>
      <c r="F72" s="70" t="s">
        <v>236</v>
      </c>
      <c r="G72" s="69">
        <f t="shared" si="1"/>
        <v>400</v>
      </c>
      <c r="H72" s="71">
        <v>26.0</v>
      </c>
      <c r="I72" s="69">
        <v>4.0</v>
      </c>
      <c r="J72" s="72">
        <f t="shared" si="2"/>
        <v>23.2</v>
      </c>
      <c r="K72" s="72"/>
      <c r="L72" s="72"/>
      <c r="M72" s="69"/>
      <c r="N72" s="73">
        <f t="shared" si="5"/>
        <v>2464.8</v>
      </c>
    </row>
    <row r="73" ht="15.0" customHeight="1">
      <c r="D73" s="69">
        <f t="shared" si="4"/>
        <v>59</v>
      </c>
      <c r="E73" s="70" t="s">
        <v>248</v>
      </c>
      <c r="F73" s="70" t="s">
        <v>236</v>
      </c>
      <c r="G73" s="69">
        <f t="shared" si="1"/>
        <v>400</v>
      </c>
      <c r="H73" s="71">
        <v>26.0</v>
      </c>
      <c r="I73" s="69">
        <v>13.0</v>
      </c>
      <c r="J73" s="72">
        <f t="shared" si="2"/>
        <v>16.9</v>
      </c>
      <c r="K73" s="72"/>
      <c r="L73" s="72"/>
      <c r="M73" s="69"/>
      <c r="N73" s="73">
        <f t="shared" si="5"/>
        <v>1904.1</v>
      </c>
    </row>
    <row r="74" ht="15.0" customHeight="1">
      <c r="D74" s="69">
        <f t="shared" si="4"/>
        <v>60</v>
      </c>
      <c r="E74" s="70" t="s">
        <v>249</v>
      </c>
      <c r="F74" s="70" t="s">
        <v>250</v>
      </c>
      <c r="G74" s="69">
        <f t="shared" si="1"/>
        <v>400</v>
      </c>
      <c r="H74" s="71">
        <v>26.0</v>
      </c>
      <c r="I74" s="69">
        <v>7.0</v>
      </c>
      <c r="J74" s="72">
        <f t="shared" si="2"/>
        <v>21.1</v>
      </c>
      <c r="K74" s="72"/>
      <c r="L74" s="72"/>
      <c r="M74" s="69"/>
      <c r="N74" s="73">
        <f t="shared" si="5"/>
        <v>2277.9</v>
      </c>
    </row>
    <row r="75" ht="15.0" customHeight="1">
      <c r="D75" s="69">
        <f t="shared" si="4"/>
        <v>61</v>
      </c>
      <c r="E75" s="70" t="s">
        <v>251</v>
      </c>
      <c r="F75" s="70" t="s">
        <v>252</v>
      </c>
      <c r="G75" s="69">
        <f t="shared" si="1"/>
        <v>400</v>
      </c>
      <c r="H75" s="71">
        <v>26.0</v>
      </c>
      <c r="I75" s="69"/>
      <c r="J75" s="72">
        <f t="shared" si="2"/>
        <v>26</v>
      </c>
      <c r="K75" s="72"/>
      <c r="L75" s="72">
        <v>5.0</v>
      </c>
      <c r="M75" s="69"/>
      <c r="N75" s="73">
        <f t="shared" si="5"/>
        <v>2719</v>
      </c>
    </row>
    <row r="76" ht="15.0" customHeight="1">
      <c r="D76" s="69">
        <f t="shared" si="4"/>
        <v>62</v>
      </c>
      <c r="E76" s="70" t="s">
        <v>253</v>
      </c>
      <c r="F76" s="70" t="s">
        <v>254</v>
      </c>
      <c r="G76" s="69">
        <f t="shared" si="1"/>
        <v>400</v>
      </c>
      <c r="H76" s="71">
        <v>26.0</v>
      </c>
      <c r="I76" s="69"/>
      <c r="J76" s="72">
        <f t="shared" si="2"/>
        <v>26</v>
      </c>
      <c r="K76" s="72">
        <v>45.0</v>
      </c>
      <c r="L76" s="72"/>
      <c r="M76" s="69"/>
      <c r="N76" s="73">
        <f t="shared" si="5"/>
        <v>2759</v>
      </c>
    </row>
    <row r="77" ht="15.0" customHeight="1">
      <c r="D77" s="69">
        <f t="shared" si="4"/>
        <v>63</v>
      </c>
      <c r="E77" s="70" t="s">
        <v>255</v>
      </c>
      <c r="F77" s="70" t="s">
        <v>254</v>
      </c>
      <c r="G77" s="69">
        <f t="shared" si="1"/>
        <v>400</v>
      </c>
      <c r="H77" s="71">
        <v>26.0</v>
      </c>
      <c r="I77" s="69">
        <v>1.0</v>
      </c>
      <c r="J77" s="72">
        <f t="shared" si="2"/>
        <v>25.3</v>
      </c>
      <c r="K77" s="72">
        <v>180.0</v>
      </c>
      <c r="L77" s="72"/>
      <c r="M77" s="69"/>
      <c r="N77" s="73">
        <f t="shared" si="5"/>
        <v>2831.7</v>
      </c>
    </row>
    <row r="78" ht="15.0" customHeight="1">
      <c r="D78" s="69">
        <f t="shared" si="4"/>
        <v>64</v>
      </c>
      <c r="E78" s="70" t="s">
        <v>256</v>
      </c>
      <c r="F78" s="70" t="s">
        <v>254</v>
      </c>
      <c r="G78" s="69">
        <f t="shared" si="1"/>
        <v>400</v>
      </c>
      <c r="H78" s="71">
        <v>26.0</v>
      </c>
      <c r="I78" s="69"/>
      <c r="J78" s="72">
        <f t="shared" si="2"/>
        <v>26</v>
      </c>
      <c r="K78" s="72"/>
      <c r="L78" s="72"/>
      <c r="M78" s="69"/>
      <c r="N78" s="73">
        <f t="shared" si="5"/>
        <v>2714</v>
      </c>
    </row>
    <row r="79" ht="15.0" customHeight="1">
      <c r="D79" s="69">
        <f t="shared" si="4"/>
        <v>65</v>
      </c>
      <c r="E79" s="70" t="s">
        <v>257</v>
      </c>
      <c r="F79" s="70" t="s">
        <v>254</v>
      </c>
      <c r="G79" s="69">
        <f t="shared" si="1"/>
        <v>400</v>
      </c>
      <c r="H79" s="71">
        <v>26.0</v>
      </c>
      <c r="I79" s="69">
        <v>6.0</v>
      </c>
      <c r="J79" s="72">
        <f t="shared" si="2"/>
        <v>21.8</v>
      </c>
      <c r="K79" s="72"/>
      <c r="L79" s="72"/>
      <c r="M79" s="69"/>
      <c r="N79" s="73">
        <f t="shared" si="5"/>
        <v>2340.2</v>
      </c>
    </row>
    <row r="80" ht="15.0" customHeight="1">
      <c r="D80" s="69">
        <f t="shared" si="4"/>
        <v>66</v>
      </c>
      <c r="E80" s="70" t="s">
        <v>258</v>
      </c>
      <c r="F80" s="70" t="s">
        <v>254</v>
      </c>
      <c r="G80" s="69">
        <f t="shared" si="1"/>
        <v>400</v>
      </c>
      <c r="H80" s="71">
        <v>26.0</v>
      </c>
      <c r="I80" s="69">
        <v>12.0</v>
      </c>
      <c r="J80" s="72">
        <f t="shared" si="2"/>
        <v>17.6</v>
      </c>
      <c r="K80" s="72"/>
      <c r="L80" s="72"/>
      <c r="M80" s="69"/>
      <c r="N80" s="73">
        <f t="shared" si="5"/>
        <v>1966.4</v>
      </c>
    </row>
    <row r="81" ht="15.0" customHeight="1">
      <c r="D81" s="69">
        <f t="shared" si="4"/>
        <v>67</v>
      </c>
      <c r="E81" s="70" t="s">
        <v>259</v>
      </c>
      <c r="F81" s="70" t="s">
        <v>254</v>
      </c>
      <c r="G81" s="69">
        <f t="shared" si="1"/>
        <v>400</v>
      </c>
      <c r="H81" s="71">
        <v>26.0</v>
      </c>
      <c r="I81" s="69">
        <v>9.0</v>
      </c>
      <c r="J81" s="72">
        <f t="shared" si="2"/>
        <v>19.7</v>
      </c>
      <c r="K81" s="72"/>
      <c r="L81" s="72"/>
      <c r="M81" s="69"/>
      <c r="N81" s="73">
        <f t="shared" si="5"/>
        <v>2153.3</v>
      </c>
    </row>
    <row r="82" ht="15.0" customHeight="1">
      <c r="D82" s="69">
        <f t="shared" si="4"/>
        <v>68</v>
      </c>
      <c r="E82" s="70" t="s">
        <v>260</v>
      </c>
      <c r="F82" s="70" t="s">
        <v>254</v>
      </c>
      <c r="G82" s="69">
        <f t="shared" si="1"/>
        <v>400</v>
      </c>
      <c r="H82" s="71">
        <v>26.0</v>
      </c>
      <c r="I82" s="69"/>
      <c r="J82" s="72">
        <f t="shared" si="2"/>
        <v>26</v>
      </c>
      <c r="K82" s="72"/>
      <c r="L82" s="72">
        <v>5.0</v>
      </c>
      <c r="M82" s="69"/>
      <c r="N82" s="73">
        <f t="shared" si="5"/>
        <v>2719</v>
      </c>
    </row>
    <row r="83" ht="15.0" customHeight="1">
      <c r="D83" s="69">
        <f t="shared" si="4"/>
        <v>69</v>
      </c>
      <c r="E83" s="74" t="s">
        <v>261</v>
      </c>
      <c r="F83" s="70" t="s">
        <v>254</v>
      </c>
      <c r="G83" s="69">
        <f t="shared" si="1"/>
        <v>400</v>
      </c>
      <c r="H83" s="71">
        <v>26.0</v>
      </c>
      <c r="I83" s="69">
        <v>4.0</v>
      </c>
      <c r="J83" s="72">
        <f t="shared" si="2"/>
        <v>23.2</v>
      </c>
      <c r="K83" s="72"/>
      <c r="L83" s="72">
        <v>15.0</v>
      </c>
      <c r="M83" s="69"/>
      <c r="N83" s="73">
        <f t="shared" si="5"/>
        <v>2479.8</v>
      </c>
    </row>
    <row r="84" ht="15.0" customHeight="1">
      <c r="D84" s="69">
        <f t="shared" si="4"/>
        <v>70</v>
      </c>
      <c r="E84" s="70" t="s">
        <v>262</v>
      </c>
      <c r="F84" s="70" t="s">
        <v>254</v>
      </c>
      <c r="G84" s="69">
        <f t="shared" si="1"/>
        <v>400</v>
      </c>
      <c r="H84" s="71">
        <v>26.0</v>
      </c>
      <c r="I84" s="69">
        <v>15.0</v>
      </c>
      <c r="J84" s="72">
        <f t="shared" si="2"/>
        <v>15.5</v>
      </c>
      <c r="K84" s="72"/>
      <c r="L84" s="72"/>
      <c r="M84" s="69"/>
      <c r="N84" s="73">
        <f t="shared" si="5"/>
        <v>1779.5</v>
      </c>
    </row>
    <row r="85" ht="15.0" customHeight="1">
      <c r="D85" s="69">
        <f t="shared" si="4"/>
        <v>71</v>
      </c>
      <c r="E85" s="70" t="s">
        <v>263</v>
      </c>
      <c r="F85" s="70" t="s">
        <v>254</v>
      </c>
      <c r="G85" s="69">
        <f t="shared" si="1"/>
        <v>400</v>
      </c>
      <c r="H85" s="71">
        <v>26.0</v>
      </c>
      <c r="I85" s="69">
        <v>14.0</v>
      </c>
      <c r="J85" s="72">
        <f t="shared" si="2"/>
        <v>16.2</v>
      </c>
      <c r="K85" s="72"/>
      <c r="L85" s="72"/>
      <c r="M85" s="69"/>
      <c r="N85" s="73">
        <f t="shared" si="5"/>
        <v>1841.8</v>
      </c>
    </row>
    <row r="86" ht="15.0" customHeight="1">
      <c r="D86" s="69">
        <f t="shared" si="4"/>
        <v>72</v>
      </c>
      <c r="E86" s="70" t="s">
        <v>264</v>
      </c>
      <c r="F86" s="70" t="s">
        <v>254</v>
      </c>
      <c r="G86" s="69">
        <f t="shared" si="1"/>
        <v>400</v>
      </c>
      <c r="H86" s="71">
        <v>26.0</v>
      </c>
      <c r="I86" s="69">
        <v>12.0</v>
      </c>
      <c r="J86" s="72">
        <f t="shared" si="2"/>
        <v>17.6</v>
      </c>
      <c r="K86" s="72"/>
      <c r="L86" s="72"/>
      <c r="M86" s="69"/>
      <c r="N86" s="73">
        <f t="shared" si="5"/>
        <v>1966.4</v>
      </c>
    </row>
    <row r="87" ht="15.0" customHeight="1">
      <c r="D87" s="69">
        <f t="shared" si="4"/>
        <v>73</v>
      </c>
      <c r="E87" s="74" t="s">
        <v>265</v>
      </c>
      <c r="F87" s="70" t="s">
        <v>254</v>
      </c>
      <c r="G87" s="69">
        <f t="shared" si="1"/>
        <v>400</v>
      </c>
      <c r="H87" s="71">
        <v>26.0</v>
      </c>
      <c r="I87" s="69">
        <v>3.0</v>
      </c>
      <c r="J87" s="72">
        <f t="shared" si="2"/>
        <v>23.9</v>
      </c>
      <c r="K87" s="72"/>
      <c r="L87" s="72"/>
      <c r="M87" s="69"/>
      <c r="N87" s="73">
        <f t="shared" si="5"/>
        <v>2527.1</v>
      </c>
    </row>
    <row r="88" ht="15.0" customHeight="1">
      <c r="D88" s="69">
        <f t="shared" si="4"/>
        <v>74</v>
      </c>
      <c r="E88" s="70" t="s">
        <v>266</v>
      </c>
      <c r="F88" s="70" t="s">
        <v>254</v>
      </c>
      <c r="G88" s="69">
        <f t="shared" si="1"/>
        <v>400</v>
      </c>
      <c r="H88" s="71">
        <v>26.0</v>
      </c>
      <c r="I88" s="69">
        <v>4.0</v>
      </c>
      <c r="J88" s="72">
        <f t="shared" si="2"/>
        <v>23.2</v>
      </c>
      <c r="K88" s="72"/>
      <c r="L88" s="72"/>
      <c r="M88" s="69"/>
      <c r="N88" s="73">
        <f t="shared" si="5"/>
        <v>2464.8</v>
      </c>
    </row>
    <row r="89" ht="15.0" customHeight="1">
      <c r="D89" s="69">
        <f t="shared" si="4"/>
        <v>75</v>
      </c>
      <c r="E89" s="70" t="s">
        <v>267</v>
      </c>
      <c r="F89" s="70" t="s">
        <v>254</v>
      </c>
      <c r="G89" s="69">
        <f t="shared" si="1"/>
        <v>400</v>
      </c>
      <c r="H89" s="71">
        <v>26.0</v>
      </c>
      <c r="I89" s="69"/>
      <c r="J89" s="72">
        <f t="shared" si="2"/>
        <v>26</v>
      </c>
      <c r="K89" s="72"/>
      <c r="L89" s="72"/>
      <c r="M89" s="69"/>
      <c r="N89" s="73">
        <f t="shared" si="5"/>
        <v>2714</v>
      </c>
    </row>
    <row r="90" ht="15.0" customHeight="1">
      <c r="D90" s="69">
        <f t="shared" si="4"/>
        <v>76</v>
      </c>
      <c r="E90" s="70" t="s">
        <v>268</v>
      </c>
      <c r="F90" s="70" t="s">
        <v>254</v>
      </c>
      <c r="G90" s="69">
        <f t="shared" si="1"/>
        <v>400</v>
      </c>
      <c r="H90" s="71">
        <v>26.0</v>
      </c>
      <c r="I90" s="69">
        <v>5.0</v>
      </c>
      <c r="J90" s="72">
        <f t="shared" si="2"/>
        <v>22.5</v>
      </c>
      <c r="K90" s="72"/>
      <c r="L90" s="72">
        <v>10.0</v>
      </c>
      <c r="M90" s="69"/>
      <c r="N90" s="73">
        <f t="shared" si="5"/>
        <v>2412.5</v>
      </c>
    </row>
    <row r="91" ht="15.0" customHeight="1">
      <c r="D91" s="69">
        <f t="shared" si="4"/>
        <v>77</v>
      </c>
      <c r="E91" s="70" t="s">
        <v>269</v>
      </c>
      <c r="F91" s="70" t="s">
        <v>254</v>
      </c>
      <c r="G91" s="69">
        <f t="shared" si="1"/>
        <v>400</v>
      </c>
      <c r="H91" s="71">
        <v>26.0</v>
      </c>
      <c r="I91" s="69">
        <v>4.0</v>
      </c>
      <c r="J91" s="72">
        <f t="shared" si="2"/>
        <v>23.2</v>
      </c>
      <c r="K91" s="72"/>
      <c r="L91" s="72"/>
      <c r="M91" s="69"/>
      <c r="N91" s="73">
        <f t="shared" si="5"/>
        <v>2464.8</v>
      </c>
    </row>
    <row r="92" ht="15.0" customHeight="1">
      <c r="C92" s="75"/>
      <c r="D92" s="69">
        <f t="shared" si="4"/>
        <v>78</v>
      </c>
      <c r="E92" s="70" t="s">
        <v>270</v>
      </c>
      <c r="F92" s="70" t="s">
        <v>254</v>
      </c>
      <c r="G92" s="69">
        <f t="shared" si="1"/>
        <v>400</v>
      </c>
      <c r="H92" s="71">
        <v>26.0</v>
      </c>
      <c r="I92" s="69"/>
      <c r="J92" s="72">
        <f t="shared" si="2"/>
        <v>26</v>
      </c>
      <c r="K92" s="72"/>
      <c r="L92" s="72"/>
      <c r="M92" s="69"/>
      <c r="N92" s="73">
        <f t="shared" si="5"/>
        <v>2714</v>
      </c>
    </row>
    <row r="93" ht="15.0" customHeight="1">
      <c r="D93" s="69">
        <f t="shared" si="4"/>
        <v>79</v>
      </c>
      <c r="E93" s="70" t="s">
        <v>271</v>
      </c>
      <c r="F93" s="70" t="s">
        <v>254</v>
      </c>
      <c r="G93" s="69">
        <f t="shared" si="1"/>
        <v>400</v>
      </c>
      <c r="H93" s="71">
        <v>26.0</v>
      </c>
      <c r="I93" s="69"/>
      <c r="J93" s="72">
        <f t="shared" si="2"/>
        <v>26</v>
      </c>
      <c r="K93" s="72"/>
      <c r="L93" s="72"/>
      <c r="M93" s="69"/>
      <c r="N93" s="73">
        <f t="shared" si="5"/>
        <v>2714</v>
      </c>
    </row>
    <row r="94" ht="15.0" customHeight="1">
      <c r="D94" s="69">
        <f t="shared" si="4"/>
        <v>80</v>
      </c>
      <c r="E94" s="70" t="s">
        <v>272</v>
      </c>
      <c r="F94" s="70" t="s">
        <v>254</v>
      </c>
      <c r="G94" s="69">
        <f t="shared" si="1"/>
        <v>400</v>
      </c>
      <c r="H94" s="71">
        <v>26.0</v>
      </c>
      <c r="I94" s="69">
        <v>4.0</v>
      </c>
      <c r="J94" s="72">
        <f t="shared" si="2"/>
        <v>23.2</v>
      </c>
      <c r="K94" s="72"/>
      <c r="L94" s="72"/>
      <c r="M94" s="69"/>
      <c r="N94" s="73">
        <f t="shared" si="5"/>
        <v>2464.8</v>
      </c>
    </row>
    <row r="95" ht="15.0" customHeight="1">
      <c r="D95" s="69">
        <f t="shared" si="4"/>
        <v>81</v>
      </c>
      <c r="E95" s="70" t="s">
        <v>273</v>
      </c>
      <c r="F95" s="70" t="s">
        <v>254</v>
      </c>
      <c r="G95" s="69">
        <f t="shared" si="1"/>
        <v>400</v>
      </c>
      <c r="H95" s="71">
        <v>26.0</v>
      </c>
      <c r="I95" s="69"/>
      <c r="J95" s="72">
        <f t="shared" si="2"/>
        <v>26</v>
      </c>
      <c r="K95" s="72"/>
      <c r="L95" s="72"/>
      <c r="M95" s="69"/>
      <c r="N95" s="73">
        <f t="shared" si="5"/>
        <v>2714</v>
      </c>
    </row>
    <row r="96" ht="15.0" customHeight="1">
      <c r="D96" s="69">
        <f t="shared" si="4"/>
        <v>82</v>
      </c>
      <c r="E96" s="70" t="s">
        <v>274</v>
      </c>
      <c r="F96" s="70" t="s">
        <v>254</v>
      </c>
      <c r="G96" s="69">
        <f t="shared" si="1"/>
        <v>400</v>
      </c>
      <c r="H96" s="71">
        <v>26.0</v>
      </c>
      <c r="I96" s="69">
        <v>3.0</v>
      </c>
      <c r="J96" s="72">
        <f t="shared" si="2"/>
        <v>23.9</v>
      </c>
      <c r="K96" s="72"/>
      <c r="L96" s="72"/>
      <c r="M96" s="69"/>
      <c r="N96" s="73">
        <f t="shared" si="5"/>
        <v>2527.1</v>
      </c>
    </row>
    <row r="97" ht="15.0" customHeight="1">
      <c r="D97" s="69">
        <f t="shared" si="4"/>
        <v>83</v>
      </c>
      <c r="E97" s="70" t="s">
        <v>275</v>
      </c>
      <c r="F97" s="70" t="s">
        <v>187</v>
      </c>
      <c r="G97" s="69">
        <f t="shared" si="1"/>
        <v>400</v>
      </c>
      <c r="H97" s="71">
        <v>26.0</v>
      </c>
      <c r="I97" s="69">
        <v>9.0</v>
      </c>
      <c r="J97" s="72">
        <f t="shared" si="2"/>
        <v>19.7</v>
      </c>
      <c r="K97" s="72"/>
      <c r="L97" s="72">
        <v>5.0</v>
      </c>
      <c r="M97" s="69"/>
      <c r="N97" s="73">
        <f t="shared" si="5"/>
        <v>2158.3</v>
      </c>
    </row>
    <row r="98" ht="15.0" customHeight="1">
      <c r="D98" s="69">
        <f t="shared" si="4"/>
        <v>84</v>
      </c>
      <c r="E98" s="74" t="s">
        <v>276</v>
      </c>
      <c r="F98" s="70" t="s">
        <v>187</v>
      </c>
      <c r="G98" s="69">
        <f t="shared" si="1"/>
        <v>400</v>
      </c>
      <c r="H98" s="71">
        <v>26.0</v>
      </c>
      <c r="I98" s="69">
        <v>3.0</v>
      </c>
      <c r="J98" s="72">
        <f t="shared" si="2"/>
        <v>23.9</v>
      </c>
      <c r="K98" s="72"/>
      <c r="L98" s="72"/>
      <c r="M98" s="69"/>
      <c r="N98" s="73">
        <f t="shared" si="5"/>
        <v>2527.1</v>
      </c>
    </row>
    <row r="99" ht="15.0" customHeight="1">
      <c r="D99" s="69">
        <f t="shared" si="4"/>
        <v>85</v>
      </c>
      <c r="E99" s="70" t="s">
        <v>277</v>
      </c>
      <c r="F99" s="70" t="s">
        <v>187</v>
      </c>
      <c r="G99" s="69">
        <f t="shared" si="1"/>
        <v>400</v>
      </c>
      <c r="H99" s="71">
        <v>26.0</v>
      </c>
      <c r="I99" s="69">
        <v>3.0</v>
      </c>
      <c r="J99" s="72">
        <f t="shared" si="2"/>
        <v>23.9</v>
      </c>
      <c r="K99" s="72"/>
      <c r="L99" s="72">
        <v>5.0</v>
      </c>
      <c r="M99" s="69"/>
      <c r="N99" s="73">
        <f t="shared" si="5"/>
        <v>2532.1</v>
      </c>
    </row>
    <row r="100" ht="15.0" customHeight="1">
      <c r="D100" s="69">
        <f t="shared" si="4"/>
        <v>86</v>
      </c>
      <c r="E100" s="70" t="s">
        <v>278</v>
      </c>
      <c r="F100" s="70" t="s">
        <v>187</v>
      </c>
      <c r="G100" s="69">
        <f t="shared" si="1"/>
        <v>400</v>
      </c>
      <c r="H100" s="71">
        <v>26.0</v>
      </c>
      <c r="I100" s="69">
        <v>5.0</v>
      </c>
      <c r="J100" s="72">
        <f t="shared" si="2"/>
        <v>22.5</v>
      </c>
      <c r="K100" s="72"/>
      <c r="L100" s="72"/>
      <c r="M100" s="69"/>
      <c r="N100" s="73">
        <f t="shared" si="5"/>
        <v>2402.5</v>
      </c>
    </row>
    <row r="101" ht="15.0" customHeight="1">
      <c r="D101" s="69">
        <f t="shared" si="4"/>
        <v>87</v>
      </c>
      <c r="E101" s="70" t="s">
        <v>279</v>
      </c>
      <c r="F101" s="70" t="s">
        <v>187</v>
      </c>
      <c r="G101" s="69">
        <f t="shared" si="1"/>
        <v>400</v>
      </c>
      <c r="H101" s="71">
        <v>26.0</v>
      </c>
      <c r="I101" s="69">
        <v>6.0</v>
      </c>
      <c r="J101" s="72">
        <f t="shared" si="2"/>
        <v>21.8</v>
      </c>
      <c r="K101" s="72"/>
      <c r="L101" s="72"/>
      <c r="M101" s="69"/>
      <c r="N101" s="73">
        <f t="shared" si="5"/>
        <v>2340.2</v>
      </c>
    </row>
    <row r="102" ht="15.0" customHeight="1">
      <c r="D102" s="69">
        <f t="shared" si="4"/>
        <v>88</v>
      </c>
      <c r="E102" s="70" t="s">
        <v>280</v>
      </c>
      <c r="F102" s="70" t="s">
        <v>187</v>
      </c>
      <c r="G102" s="69">
        <f t="shared" si="1"/>
        <v>400</v>
      </c>
      <c r="H102" s="71">
        <v>26.0</v>
      </c>
      <c r="I102" s="69">
        <v>3.0</v>
      </c>
      <c r="J102" s="72">
        <f t="shared" si="2"/>
        <v>23.9</v>
      </c>
      <c r="K102" s="72">
        <v>45.0</v>
      </c>
      <c r="L102" s="72"/>
      <c r="M102" s="69"/>
      <c r="N102" s="73">
        <f t="shared" si="5"/>
        <v>2572.1</v>
      </c>
    </row>
    <row r="103" ht="15.0" customHeight="1">
      <c r="D103" s="69">
        <f t="shared" si="4"/>
        <v>89</v>
      </c>
      <c r="E103" s="70" t="s">
        <v>281</v>
      </c>
      <c r="F103" s="70" t="s">
        <v>187</v>
      </c>
      <c r="G103" s="69">
        <f t="shared" si="1"/>
        <v>400</v>
      </c>
      <c r="H103" s="71">
        <v>26.0</v>
      </c>
      <c r="I103" s="69">
        <v>6.0</v>
      </c>
      <c r="J103" s="72">
        <f t="shared" si="2"/>
        <v>21.8</v>
      </c>
      <c r="K103" s="72"/>
      <c r="L103" s="72">
        <v>10.0</v>
      </c>
      <c r="M103" s="69"/>
      <c r="N103" s="73">
        <f t="shared" si="5"/>
        <v>2350.2</v>
      </c>
    </row>
    <row r="104" ht="15.0" customHeight="1">
      <c r="C104" s="75"/>
      <c r="D104" s="69">
        <f t="shared" si="4"/>
        <v>90</v>
      </c>
      <c r="E104" s="70" t="s">
        <v>282</v>
      </c>
      <c r="F104" s="70" t="s">
        <v>187</v>
      </c>
      <c r="G104" s="69">
        <f t="shared" si="1"/>
        <v>400</v>
      </c>
      <c r="H104" s="71">
        <v>26.0</v>
      </c>
      <c r="I104" s="69">
        <v>3.0</v>
      </c>
      <c r="J104" s="72">
        <f t="shared" si="2"/>
        <v>23.9</v>
      </c>
      <c r="K104" s="72">
        <v>450.0</v>
      </c>
      <c r="L104" s="72"/>
      <c r="M104" s="69"/>
      <c r="N104" s="73">
        <f t="shared" si="5"/>
        <v>2977.1</v>
      </c>
    </row>
    <row r="105" ht="15.0" customHeight="1">
      <c r="D105" s="69">
        <f t="shared" si="4"/>
        <v>91</v>
      </c>
      <c r="E105" s="70" t="s">
        <v>283</v>
      </c>
      <c r="F105" s="70" t="s">
        <v>187</v>
      </c>
      <c r="G105" s="69">
        <f t="shared" si="1"/>
        <v>400</v>
      </c>
      <c r="H105" s="71">
        <v>26.0</v>
      </c>
      <c r="I105" s="69">
        <v>7.0</v>
      </c>
      <c r="J105" s="72">
        <f t="shared" si="2"/>
        <v>21.1</v>
      </c>
      <c r="K105" s="72"/>
      <c r="L105" s="72"/>
      <c r="M105" s="69"/>
      <c r="N105" s="73">
        <f t="shared" si="5"/>
        <v>2277.9</v>
      </c>
    </row>
    <row r="106" ht="15.0" customHeight="1">
      <c r="D106" s="69">
        <f t="shared" si="4"/>
        <v>92</v>
      </c>
      <c r="E106" s="70" t="s">
        <v>284</v>
      </c>
      <c r="F106" s="70" t="s">
        <v>187</v>
      </c>
      <c r="G106" s="69">
        <f t="shared" si="1"/>
        <v>400</v>
      </c>
      <c r="H106" s="71">
        <v>26.0</v>
      </c>
      <c r="I106" s="69">
        <v>14.0</v>
      </c>
      <c r="J106" s="72">
        <f t="shared" si="2"/>
        <v>16.2</v>
      </c>
      <c r="K106" s="72"/>
      <c r="L106" s="72"/>
      <c r="M106" s="69"/>
      <c r="N106" s="73">
        <f t="shared" si="5"/>
        <v>1841.8</v>
      </c>
    </row>
    <row r="107" ht="15.0" customHeight="1">
      <c r="D107" s="69">
        <f t="shared" si="4"/>
        <v>93</v>
      </c>
      <c r="E107" s="70" t="s">
        <v>285</v>
      </c>
      <c r="F107" s="70" t="s">
        <v>187</v>
      </c>
      <c r="G107" s="69">
        <f t="shared" si="1"/>
        <v>400</v>
      </c>
      <c r="H107" s="71">
        <v>26.0</v>
      </c>
      <c r="I107" s="69">
        <v>14.0</v>
      </c>
      <c r="J107" s="72">
        <f t="shared" si="2"/>
        <v>16.2</v>
      </c>
      <c r="K107" s="72"/>
      <c r="L107" s="72">
        <v>5.0</v>
      </c>
      <c r="M107" s="69"/>
      <c r="N107" s="73">
        <f t="shared" si="5"/>
        <v>1846.8</v>
      </c>
    </row>
    <row r="108" ht="15.0" customHeight="1">
      <c r="D108" s="69">
        <f t="shared" si="4"/>
        <v>94</v>
      </c>
      <c r="E108" s="70" t="s">
        <v>286</v>
      </c>
      <c r="F108" s="70" t="s">
        <v>187</v>
      </c>
      <c r="G108" s="69">
        <f t="shared" si="1"/>
        <v>400</v>
      </c>
      <c r="H108" s="71">
        <v>26.0</v>
      </c>
      <c r="I108" s="69">
        <v>10.0</v>
      </c>
      <c r="J108" s="72">
        <f t="shared" si="2"/>
        <v>19</v>
      </c>
      <c r="K108" s="72">
        <v>360.0</v>
      </c>
      <c r="L108" s="72"/>
      <c r="M108" s="69"/>
      <c r="N108" s="73">
        <f t="shared" si="5"/>
        <v>2451</v>
      </c>
    </row>
    <row r="109" ht="15.0" customHeight="1">
      <c r="D109" s="69">
        <f t="shared" si="4"/>
        <v>95</v>
      </c>
      <c r="E109" s="70" t="s">
        <v>287</v>
      </c>
      <c r="F109" s="70" t="s">
        <v>187</v>
      </c>
      <c r="G109" s="69">
        <f t="shared" si="1"/>
        <v>400</v>
      </c>
      <c r="H109" s="71">
        <v>26.0</v>
      </c>
      <c r="I109" s="69"/>
      <c r="J109" s="72">
        <f t="shared" si="2"/>
        <v>26</v>
      </c>
      <c r="K109" s="72">
        <v>130.0</v>
      </c>
      <c r="L109" s="72">
        <v>5.0</v>
      </c>
      <c r="M109" s="69"/>
      <c r="N109" s="73">
        <f t="shared" si="5"/>
        <v>2849</v>
      </c>
    </row>
    <row r="110" ht="15.0" customHeight="1">
      <c r="D110" s="69">
        <f t="shared" si="4"/>
        <v>96</v>
      </c>
      <c r="E110" s="70" t="s">
        <v>288</v>
      </c>
      <c r="F110" s="70" t="s">
        <v>187</v>
      </c>
      <c r="G110" s="69">
        <f t="shared" si="1"/>
        <v>400</v>
      </c>
      <c r="H110" s="71">
        <v>26.0</v>
      </c>
      <c r="I110" s="69">
        <v>6.0</v>
      </c>
      <c r="J110" s="72">
        <f t="shared" si="2"/>
        <v>21.8</v>
      </c>
      <c r="K110" s="72"/>
      <c r="L110" s="72">
        <v>5.0</v>
      </c>
      <c r="M110" s="69"/>
      <c r="N110" s="73">
        <f t="shared" si="5"/>
        <v>2345.2</v>
      </c>
    </row>
    <row r="111" ht="15.0" customHeight="1">
      <c r="D111" s="69">
        <f t="shared" si="4"/>
        <v>97</v>
      </c>
      <c r="E111" s="74" t="s">
        <v>289</v>
      </c>
      <c r="F111" s="70" t="s">
        <v>187</v>
      </c>
      <c r="G111" s="69">
        <f t="shared" si="1"/>
        <v>400</v>
      </c>
      <c r="H111" s="71">
        <v>26.0</v>
      </c>
      <c r="I111" s="69">
        <v>9.0</v>
      </c>
      <c r="J111" s="72">
        <f t="shared" si="2"/>
        <v>19.7</v>
      </c>
      <c r="K111" s="72"/>
      <c r="L111" s="72"/>
      <c r="M111" s="69"/>
      <c r="N111" s="73">
        <f t="shared" si="5"/>
        <v>2153.3</v>
      </c>
    </row>
    <row r="112" ht="15.0" customHeight="1">
      <c r="D112" s="69">
        <f t="shared" si="4"/>
        <v>98</v>
      </c>
      <c r="E112" s="74" t="s">
        <v>290</v>
      </c>
      <c r="F112" s="70" t="s">
        <v>187</v>
      </c>
      <c r="G112" s="69">
        <f t="shared" si="1"/>
        <v>400</v>
      </c>
      <c r="H112" s="71">
        <v>26.0</v>
      </c>
      <c r="I112" s="69">
        <v>6.0</v>
      </c>
      <c r="J112" s="72">
        <f t="shared" si="2"/>
        <v>21.8</v>
      </c>
      <c r="K112" s="72"/>
      <c r="L112" s="72"/>
      <c r="M112" s="69"/>
      <c r="N112" s="73">
        <f t="shared" si="5"/>
        <v>2340.2</v>
      </c>
    </row>
    <row r="113" ht="15.0" customHeight="1">
      <c r="D113" s="69">
        <f t="shared" si="4"/>
        <v>99</v>
      </c>
      <c r="E113" s="74" t="s">
        <v>291</v>
      </c>
      <c r="F113" s="70" t="s">
        <v>187</v>
      </c>
      <c r="G113" s="69">
        <f t="shared" si="1"/>
        <v>400</v>
      </c>
      <c r="H113" s="71">
        <v>26.0</v>
      </c>
      <c r="I113" s="69">
        <v>3.0</v>
      </c>
      <c r="J113" s="72">
        <f t="shared" si="2"/>
        <v>23.9</v>
      </c>
      <c r="K113" s="72"/>
      <c r="L113" s="72"/>
      <c r="M113" s="69"/>
      <c r="N113" s="73">
        <f t="shared" si="5"/>
        <v>2527.1</v>
      </c>
    </row>
    <row r="114" ht="15.0" customHeight="1">
      <c r="D114" s="69">
        <f t="shared" si="4"/>
        <v>100</v>
      </c>
      <c r="E114" s="70" t="s">
        <v>292</v>
      </c>
      <c r="F114" s="70" t="s">
        <v>187</v>
      </c>
      <c r="G114" s="69">
        <f t="shared" si="1"/>
        <v>400</v>
      </c>
      <c r="H114" s="71">
        <v>26.0</v>
      </c>
      <c r="I114" s="69">
        <v>3.0</v>
      </c>
      <c r="J114" s="72">
        <f t="shared" si="2"/>
        <v>23.9</v>
      </c>
      <c r="K114" s="72"/>
      <c r="L114" s="72">
        <v>5.0</v>
      </c>
      <c r="M114" s="69"/>
      <c r="N114" s="73">
        <f t="shared" si="5"/>
        <v>2532.1</v>
      </c>
      <c r="Q114" s="76" t="s">
        <v>293</v>
      </c>
    </row>
    <row r="115" ht="15.0" customHeight="1">
      <c r="D115" s="69">
        <f t="shared" si="4"/>
        <v>101</v>
      </c>
      <c r="E115" s="70" t="s">
        <v>294</v>
      </c>
      <c r="F115" s="70" t="s">
        <v>187</v>
      </c>
      <c r="G115" s="69">
        <f t="shared" si="1"/>
        <v>400</v>
      </c>
      <c r="H115" s="71">
        <v>26.0</v>
      </c>
      <c r="I115" s="69"/>
      <c r="J115" s="72">
        <f t="shared" si="2"/>
        <v>26</v>
      </c>
      <c r="K115" s="72"/>
      <c r="L115" s="72"/>
      <c r="M115" s="69"/>
      <c r="N115" s="73">
        <f t="shared" si="5"/>
        <v>2714</v>
      </c>
    </row>
    <row r="116" ht="15.0" customHeight="1">
      <c r="D116" s="69">
        <f t="shared" si="4"/>
        <v>102</v>
      </c>
      <c r="E116" s="70" t="s">
        <v>295</v>
      </c>
      <c r="F116" s="70" t="s">
        <v>187</v>
      </c>
      <c r="G116" s="69">
        <f t="shared" si="1"/>
        <v>400</v>
      </c>
      <c r="H116" s="71">
        <v>26.0</v>
      </c>
      <c r="I116" s="69">
        <v>10.0</v>
      </c>
      <c r="J116" s="72">
        <f t="shared" si="2"/>
        <v>19</v>
      </c>
      <c r="K116" s="72"/>
      <c r="L116" s="72">
        <v>5.0</v>
      </c>
      <c r="M116" s="69"/>
      <c r="N116" s="73">
        <f t="shared" si="5"/>
        <v>2096</v>
      </c>
    </row>
    <row r="117" ht="15.0" customHeight="1">
      <c r="D117" s="69">
        <f t="shared" si="4"/>
        <v>103</v>
      </c>
      <c r="E117" s="70" t="s">
        <v>296</v>
      </c>
      <c r="F117" s="70" t="s">
        <v>187</v>
      </c>
      <c r="G117" s="69">
        <f t="shared" si="1"/>
        <v>400</v>
      </c>
      <c r="H117" s="71">
        <v>26.0</v>
      </c>
      <c r="I117" s="69"/>
      <c r="J117" s="72">
        <f t="shared" si="2"/>
        <v>26</v>
      </c>
      <c r="K117" s="72"/>
      <c r="L117" s="72"/>
      <c r="M117" s="69"/>
      <c r="N117" s="73">
        <f t="shared" si="5"/>
        <v>2714</v>
      </c>
    </row>
    <row r="118" ht="15.0" customHeight="1">
      <c r="D118" s="69">
        <f t="shared" si="4"/>
        <v>104</v>
      </c>
      <c r="E118" s="70" t="s">
        <v>297</v>
      </c>
      <c r="F118" s="70" t="s">
        <v>187</v>
      </c>
      <c r="G118" s="69">
        <f t="shared" si="1"/>
        <v>400</v>
      </c>
      <c r="H118" s="71">
        <v>26.0</v>
      </c>
      <c r="I118" s="69">
        <v>7.0</v>
      </c>
      <c r="J118" s="72">
        <f t="shared" si="2"/>
        <v>21.1</v>
      </c>
      <c r="K118" s="72"/>
      <c r="L118" s="72"/>
      <c r="M118" s="69"/>
      <c r="N118" s="73">
        <f t="shared" si="5"/>
        <v>2277.9</v>
      </c>
    </row>
    <row r="119" ht="15.0" customHeight="1">
      <c r="C119" s="75"/>
      <c r="D119" s="69">
        <f t="shared" si="4"/>
        <v>105</v>
      </c>
      <c r="E119" s="70" t="s">
        <v>298</v>
      </c>
      <c r="F119" s="70" t="s">
        <v>187</v>
      </c>
      <c r="G119" s="69">
        <f t="shared" si="1"/>
        <v>400</v>
      </c>
      <c r="H119" s="71">
        <v>26.0</v>
      </c>
      <c r="I119" s="69">
        <v>6.0</v>
      </c>
      <c r="J119" s="72">
        <f t="shared" si="2"/>
        <v>21.8</v>
      </c>
      <c r="K119" s="72"/>
      <c r="L119" s="72"/>
      <c r="M119" s="69"/>
      <c r="N119" s="73">
        <f t="shared" si="5"/>
        <v>2340.2</v>
      </c>
    </row>
    <row r="120" ht="15.0" customHeight="1">
      <c r="D120" s="69">
        <f t="shared" si="4"/>
        <v>106</v>
      </c>
      <c r="E120" s="70" t="s">
        <v>299</v>
      </c>
      <c r="F120" s="70" t="s">
        <v>187</v>
      </c>
      <c r="G120" s="69">
        <f t="shared" si="1"/>
        <v>400</v>
      </c>
      <c r="H120" s="71">
        <v>26.0</v>
      </c>
      <c r="I120" s="69">
        <v>12.0</v>
      </c>
      <c r="J120" s="72">
        <f t="shared" si="2"/>
        <v>17.6</v>
      </c>
      <c r="K120" s="72"/>
      <c r="L120" s="72"/>
      <c r="M120" s="69"/>
      <c r="N120" s="73">
        <f t="shared" si="5"/>
        <v>1966.4</v>
      </c>
    </row>
    <row r="121" ht="15.0" customHeight="1">
      <c r="D121" s="69">
        <f t="shared" si="4"/>
        <v>107</v>
      </c>
      <c r="E121" s="70" t="s">
        <v>300</v>
      </c>
      <c r="F121" s="70" t="s">
        <v>187</v>
      </c>
      <c r="G121" s="69">
        <f t="shared" si="1"/>
        <v>400</v>
      </c>
      <c r="H121" s="71">
        <v>26.0</v>
      </c>
      <c r="I121" s="69">
        <v>7.0</v>
      </c>
      <c r="J121" s="72">
        <f t="shared" si="2"/>
        <v>21.1</v>
      </c>
      <c r="K121" s="72"/>
      <c r="L121" s="72"/>
      <c r="M121" s="69"/>
      <c r="N121" s="73">
        <f t="shared" si="5"/>
        <v>2277.9</v>
      </c>
    </row>
    <row r="122" ht="15.0" customHeight="1">
      <c r="D122" s="69">
        <f t="shared" si="4"/>
        <v>108</v>
      </c>
      <c r="E122" s="70" t="s">
        <v>301</v>
      </c>
      <c r="F122" s="70" t="s">
        <v>187</v>
      </c>
      <c r="G122" s="69">
        <f t="shared" si="1"/>
        <v>400</v>
      </c>
      <c r="H122" s="71">
        <v>26.0</v>
      </c>
      <c r="I122" s="69">
        <v>4.0</v>
      </c>
      <c r="J122" s="72">
        <f t="shared" si="2"/>
        <v>23.2</v>
      </c>
      <c r="K122" s="72"/>
      <c r="L122" s="72">
        <v>5.0</v>
      </c>
      <c r="M122" s="69"/>
      <c r="N122" s="73">
        <f t="shared" si="5"/>
        <v>2469.8</v>
      </c>
    </row>
    <row r="123" ht="15.0" customHeight="1">
      <c r="D123" s="69">
        <f t="shared" si="4"/>
        <v>109</v>
      </c>
      <c r="E123" s="70" t="s">
        <v>302</v>
      </c>
      <c r="F123" s="70" t="s">
        <v>187</v>
      </c>
      <c r="G123" s="69">
        <f t="shared" si="1"/>
        <v>400</v>
      </c>
      <c r="H123" s="71">
        <v>26.0</v>
      </c>
      <c r="I123" s="69">
        <v>3.0</v>
      </c>
      <c r="J123" s="72">
        <f t="shared" si="2"/>
        <v>23.9</v>
      </c>
      <c r="K123" s="72"/>
      <c r="L123" s="72">
        <v>5.0</v>
      </c>
      <c r="M123" s="69"/>
      <c r="N123" s="73">
        <f t="shared" si="5"/>
        <v>2532.1</v>
      </c>
    </row>
    <row r="124" ht="15.0" customHeight="1">
      <c r="D124" s="69">
        <f t="shared" si="4"/>
        <v>110</v>
      </c>
      <c r="E124" s="70" t="s">
        <v>303</v>
      </c>
      <c r="F124" s="70" t="s">
        <v>187</v>
      </c>
      <c r="G124" s="69">
        <f t="shared" si="1"/>
        <v>400</v>
      </c>
      <c r="H124" s="71">
        <v>26.0</v>
      </c>
      <c r="I124" s="69">
        <v>6.0</v>
      </c>
      <c r="J124" s="72">
        <f t="shared" si="2"/>
        <v>21.8</v>
      </c>
      <c r="K124" s="72"/>
      <c r="L124" s="72">
        <v>5.0</v>
      </c>
      <c r="M124" s="69"/>
      <c r="N124" s="73">
        <f t="shared" si="5"/>
        <v>2345.2</v>
      </c>
    </row>
    <row r="125" ht="15.0" customHeight="1">
      <c r="D125" s="69">
        <f t="shared" si="4"/>
        <v>111</v>
      </c>
      <c r="E125" s="70" t="s">
        <v>304</v>
      </c>
      <c r="F125" s="70" t="s">
        <v>187</v>
      </c>
      <c r="G125" s="69">
        <f t="shared" si="1"/>
        <v>400</v>
      </c>
      <c r="H125" s="71">
        <v>26.0</v>
      </c>
      <c r="I125" s="69">
        <v>3.0</v>
      </c>
      <c r="J125" s="72">
        <f t="shared" si="2"/>
        <v>23.9</v>
      </c>
      <c r="K125" s="72"/>
      <c r="L125" s="72"/>
      <c r="M125" s="69"/>
      <c r="N125" s="73">
        <f t="shared" si="5"/>
        <v>2527.1</v>
      </c>
    </row>
    <row r="126" ht="15.0" customHeight="1">
      <c r="D126" s="69">
        <f t="shared" si="4"/>
        <v>112</v>
      </c>
      <c r="E126" s="70" t="s">
        <v>305</v>
      </c>
      <c r="F126" s="70" t="s">
        <v>306</v>
      </c>
      <c r="G126" s="69">
        <f t="shared" si="1"/>
        <v>400</v>
      </c>
      <c r="H126" s="71">
        <v>26.0</v>
      </c>
      <c r="I126" s="69">
        <v>6.0</v>
      </c>
      <c r="J126" s="72">
        <f t="shared" si="2"/>
        <v>21.8</v>
      </c>
      <c r="K126" s="72"/>
      <c r="L126" s="72"/>
      <c r="M126" s="69"/>
      <c r="N126" s="73">
        <f t="shared" si="5"/>
        <v>2340.2</v>
      </c>
    </row>
    <row r="127" ht="15.0" customHeight="1">
      <c r="D127" s="69">
        <f t="shared" si="4"/>
        <v>113</v>
      </c>
      <c r="E127" s="70" t="s">
        <v>307</v>
      </c>
      <c r="F127" s="70" t="s">
        <v>308</v>
      </c>
      <c r="G127" s="69">
        <f t="shared" si="1"/>
        <v>400</v>
      </c>
      <c r="H127" s="71">
        <v>26.0</v>
      </c>
      <c r="I127" s="69">
        <v>5.0</v>
      </c>
      <c r="J127" s="77">
        <f t="shared" si="2"/>
        <v>22.5</v>
      </c>
      <c r="K127" s="72"/>
      <c r="L127" s="72"/>
      <c r="M127" s="69"/>
      <c r="N127" s="78">
        <f t="shared" si="5"/>
        <v>2402.5</v>
      </c>
    </row>
    <row r="128" ht="15.0" customHeight="1">
      <c r="D128" s="69">
        <f t="shared" si="4"/>
        <v>114</v>
      </c>
      <c r="E128" s="70" t="s">
        <v>309</v>
      </c>
      <c r="F128" s="70" t="s">
        <v>310</v>
      </c>
      <c r="G128" s="69">
        <f t="shared" si="1"/>
        <v>400</v>
      </c>
      <c r="H128" s="71">
        <v>26.0</v>
      </c>
      <c r="I128" s="69">
        <v>4.0</v>
      </c>
      <c r="J128" s="78">
        <f t="shared" si="2"/>
        <v>23.2</v>
      </c>
      <c r="K128" s="72"/>
      <c r="L128" s="72"/>
      <c r="M128" s="69"/>
      <c r="N128" s="78">
        <f t="shared" si="5"/>
        <v>2464.8</v>
      </c>
    </row>
    <row r="129" ht="15.0" customHeight="1">
      <c r="D129" s="69">
        <f t="shared" si="4"/>
        <v>115</v>
      </c>
      <c r="E129" s="70" t="s">
        <v>311</v>
      </c>
      <c r="F129" s="70" t="s">
        <v>312</v>
      </c>
      <c r="G129" s="69">
        <f t="shared" si="1"/>
        <v>400</v>
      </c>
      <c r="H129" s="71">
        <v>26.0</v>
      </c>
      <c r="I129" s="69">
        <v>3.0</v>
      </c>
      <c r="J129" s="78">
        <f t="shared" si="2"/>
        <v>23.9</v>
      </c>
      <c r="K129" s="72"/>
      <c r="L129" s="72">
        <v>30.0</v>
      </c>
      <c r="M129" s="69"/>
      <c r="N129" s="78">
        <f t="shared" si="5"/>
        <v>2557.1</v>
      </c>
    </row>
    <row r="130" ht="15.0" customHeight="1">
      <c r="D130" s="69">
        <f t="shared" si="4"/>
        <v>116</v>
      </c>
      <c r="E130" s="74" t="s">
        <v>313</v>
      </c>
      <c r="F130" s="70" t="s">
        <v>314</v>
      </c>
      <c r="G130" s="69">
        <f t="shared" si="1"/>
        <v>400</v>
      </c>
      <c r="H130" s="71">
        <v>26.0</v>
      </c>
      <c r="I130" s="69">
        <v>15.0</v>
      </c>
      <c r="J130" s="78">
        <f t="shared" si="2"/>
        <v>15.5</v>
      </c>
      <c r="K130" s="72">
        <v>135.0</v>
      </c>
      <c r="L130" s="72"/>
      <c r="M130" s="69"/>
      <c r="N130" s="78">
        <f t="shared" si="5"/>
        <v>1914.5</v>
      </c>
    </row>
    <row r="131" ht="15.0" customHeight="1">
      <c r="D131" s="69">
        <f t="shared" si="4"/>
        <v>117</v>
      </c>
      <c r="E131" s="70" t="s">
        <v>315</v>
      </c>
      <c r="F131" s="70" t="s">
        <v>314</v>
      </c>
      <c r="G131" s="69">
        <f t="shared" si="1"/>
        <v>400</v>
      </c>
      <c r="H131" s="71">
        <v>26.0</v>
      </c>
      <c r="I131" s="69">
        <v>3.0</v>
      </c>
      <c r="J131" s="78">
        <f t="shared" si="2"/>
        <v>23.9</v>
      </c>
      <c r="K131" s="72"/>
      <c r="L131" s="72"/>
      <c r="M131" s="69"/>
      <c r="N131" s="78">
        <f t="shared" si="5"/>
        <v>2527.1</v>
      </c>
    </row>
    <row r="132" ht="15.0" customHeight="1">
      <c r="D132" s="69">
        <f t="shared" si="4"/>
        <v>118</v>
      </c>
      <c r="E132" s="70" t="s">
        <v>316</v>
      </c>
      <c r="F132" s="70" t="s">
        <v>314</v>
      </c>
      <c r="G132" s="69">
        <f t="shared" si="1"/>
        <v>400</v>
      </c>
      <c r="H132" s="71">
        <v>26.0</v>
      </c>
      <c r="I132" s="69"/>
      <c r="J132" s="78">
        <f t="shared" si="2"/>
        <v>26</v>
      </c>
      <c r="K132" s="72"/>
      <c r="L132" s="72"/>
      <c r="M132" s="69"/>
      <c r="N132" s="78">
        <f t="shared" si="5"/>
        <v>2714</v>
      </c>
    </row>
    <row r="133" ht="15.0" customHeight="1">
      <c r="D133" s="69">
        <f t="shared" si="4"/>
        <v>119</v>
      </c>
      <c r="E133" s="70" t="s">
        <v>317</v>
      </c>
      <c r="F133" s="70" t="s">
        <v>314</v>
      </c>
      <c r="G133" s="69">
        <f t="shared" si="1"/>
        <v>400</v>
      </c>
      <c r="H133" s="71">
        <v>26.0</v>
      </c>
      <c r="I133" s="69">
        <v>5.0</v>
      </c>
      <c r="J133" s="78">
        <f t="shared" si="2"/>
        <v>22.5</v>
      </c>
      <c r="K133" s="72"/>
      <c r="L133" s="72"/>
      <c r="M133" s="69"/>
      <c r="N133" s="78">
        <f t="shared" si="5"/>
        <v>2402.5</v>
      </c>
    </row>
    <row r="134" ht="15.0" customHeight="1">
      <c r="D134" s="69">
        <f t="shared" si="4"/>
        <v>120</v>
      </c>
      <c r="E134" s="74" t="s">
        <v>318</v>
      </c>
      <c r="F134" s="70" t="s">
        <v>314</v>
      </c>
      <c r="G134" s="69">
        <f t="shared" si="1"/>
        <v>400</v>
      </c>
      <c r="H134" s="71">
        <v>26.0</v>
      </c>
      <c r="I134" s="77">
        <v>3.0</v>
      </c>
      <c r="J134" s="77">
        <f t="shared" si="2"/>
        <v>23.9</v>
      </c>
      <c r="K134" s="79"/>
      <c r="L134" s="72"/>
      <c r="M134" s="69"/>
      <c r="N134" s="78">
        <f t="shared" si="5"/>
        <v>2527.1</v>
      </c>
    </row>
    <row r="135" ht="15.0" customHeight="1">
      <c r="D135" s="69">
        <f t="shared" si="4"/>
        <v>121</v>
      </c>
      <c r="E135" s="74" t="s">
        <v>319</v>
      </c>
      <c r="F135" s="70" t="s">
        <v>314</v>
      </c>
      <c r="G135" s="69">
        <f t="shared" si="1"/>
        <v>400</v>
      </c>
      <c r="H135" s="71">
        <v>26.0</v>
      </c>
      <c r="I135" s="77">
        <v>3.0</v>
      </c>
      <c r="J135" s="77">
        <f t="shared" si="2"/>
        <v>23.9</v>
      </c>
      <c r="K135" s="79">
        <v>230.0</v>
      </c>
      <c r="L135" s="79">
        <v>5.0</v>
      </c>
      <c r="M135" s="69"/>
      <c r="N135" s="78">
        <f t="shared" si="5"/>
        <v>2762.1</v>
      </c>
    </row>
    <row r="136" ht="15.0" customHeight="1">
      <c r="D136" s="69">
        <f t="shared" si="4"/>
        <v>122</v>
      </c>
      <c r="E136" s="70" t="s">
        <v>320</v>
      </c>
      <c r="F136" s="70" t="s">
        <v>314</v>
      </c>
      <c r="G136" s="69">
        <f t="shared" si="1"/>
        <v>400</v>
      </c>
      <c r="H136" s="71">
        <v>26.0</v>
      </c>
      <c r="I136" s="77">
        <v>7.0</v>
      </c>
      <c r="J136" s="77">
        <f t="shared" si="2"/>
        <v>21.1</v>
      </c>
      <c r="K136" s="79"/>
      <c r="L136" s="79">
        <v>5.0</v>
      </c>
      <c r="M136" s="77"/>
      <c r="N136" s="78">
        <f t="shared" si="5"/>
        <v>2282.9</v>
      </c>
    </row>
    <row r="137" ht="15.0" customHeight="1">
      <c r="D137" s="69">
        <f t="shared" si="4"/>
        <v>123</v>
      </c>
      <c r="E137" s="74" t="s">
        <v>321</v>
      </c>
      <c r="F137" s="70" t="s">
        <v>322</v>
      </c>
      <c r="G137" s="69">
        <f t="shared" si="1"/>
        <v>400</v>
      </c>
      <c r="H137" s="71">
        <v>26.0</v>
      </c>
      <c r="I137" s="77">
        <v>15.0</v>
      </c>
      <c r="J137" s="77">
        <f t="shared" si="2"/>
        <v>15.5</v>
      </c>
      <c r="K137" s="79">
        <v>135.0</v>
      </c>
      <c r="L137" s="79"/>
      <c r="M137" s="77"/>
      <c r="N137" s="78">
        <f t="shared" si="5"/>
        <v>1914.5</v>
      </c>
    </row>
    <row r="138" ht="15.0" customHeight="1">
      <c r="D138" s="69">
        <f t="shared" si="4"/>
        <v>124</v>
      </c>
      <c r="E138" s="70" t="s">
        <v>323</v>
      </c>
      <c r="F138" s="70" t="s">
        <v>25</v>
      </c>
      <c r="G138" s="69">
        <f t="shared" si="1"/>
        <v>400</v>
      </c>
      <c r="H138" s="71">
        <v>26.0</v>
      </c>
      <c r="I138" s="77">
        <v>5.0</v>
      </c>
      <c r="J138" s="77">
        <f t="shared" si="2"/>
        <v>22.5</v>
      </c>
      <c r="K138" s="79"/>
      <c r="L138" s="79"/>
      <c r="M138" s="77"/>
      <c r="N138" s="78">
        <f t="shared" si="5"/>
        <v>2402.5</v>
      </c>
    </row>
    <row r="139" ht="15.0" customHeight="1">
      <c r="D139" s="69">
        <f t="shared" si="4"/>
        <v>125</v>
      </c>
      <c r="E139" s="70" t="s">
        <v>324</v>
      </c>
      <c r="F139" s="70" t="s">
        <v>25</v>
      </c>
      <c r="G139" s="69">
        <f t="shared" si="1"/>
        <v>400</v>
      </c>
      <c r="H139" s="71">
        <v>26.0</v>
      </c>
      <c r="I139" s="77">
        <v>3.0</v>
      </c>
      <c r="J139" s="77">
        <f t="shared" si="2"/>
        <v>23.9</v>
      </c>
      <c r="K139" s="79"/>
      <c r="L139" s="79"/>
      <c r="M139" s="77"/>
      <c r="N139" s="78">
        <f t="shared" si="5"/>
        <v>2527.1</v>
      </c>
    </row>
    <row r="140" ht="15.0" customHeight="1">
      <c r="D140" s="69">
        <f t="shared" si="4"/>
        <v>126</v>
      </c>
      <c r="E140" s="70" t="s">
        <v>325</v>
      </c>
      <c r="F140" s="70" t="s">
        <v>25</v>
      </c>
      <c r="G140" s="69">
        <f t="shared" si="1"/>
        <v>400</v>
      </c>
      <c r="H140" s="71">
        <v>26.0</v>
      </c>
      <c r="I140" s="77">
        <v>8.0</v>
      </c>
      <c r="J140" s="77">
        <f t="shared" si="2"/>
        <v>20.4</v>
      </c>
      <c r="K140" s="79"/>
      <c r="L140" s="79"/>
      <c r="M140" s="77"/>
      <c r="N140" s="78">
        <f t="shared" si="5"/>
        <v>2215.6</v>
      </c>
    </row>
    <row r="141" ht="15.0" customHeight="1">
      <c r="D141" s="69">
        <f t="shared" si="4"/>
        <v>127</v>
      </c>
      <c r="E141" s="70" t="s">
        <v>326</v>
      </c>
      <c r="F141" s="70" t="s">
        <v>25</v>
      </c>
      <c r="G141" s="69">
        <f t="shared" si="1"/>
        <v>400</v>
      </c>
      <c r="H141" s="71">
        <v>26.0</v>
      </c>
      <c r="I141" s="77">
        <v>3.0</v>
      </c>
      <c r="J141" s="77">
        <f t="shared" si="2"/>
        <v>23.9</v>
      </c>
      <c r="K141" s="79"/>
      <c r="L141" s="79"/>
      <c r="M141" s="77"/>
      <c r="N141" s="78">
        <f t="shared" si="5"/>
        <v>2527.1</v>
      </c>
    </row>
    <row r="142" ht="15.0" customHeight="1">
      <c r="D142" s="69">
        <f t="shared" si="4"/>
        <v>128</v>
      </c>
      <c r="E142" s="74" t="s">
        <v>327</v>
      </c>
      <c r="F142" s="70" t="s">
        <v>25</v>
      </c>
      <c r="G142" s="69">
        <f t="shared" si="1"/>
        <v>400</v>
      </c>
      <c r="H142" s="71">
        <v>26.0</v>
      </c>
      <c r="I142" s="77">
        <v>3.0</v>
      </c>
      <c r="J142" s="77">
        <f t="shared" si="2"/>
        <v>23.9</v>
      </c>
      <c r="K142" s="79"/>
      <c r="L142" s="79"/>
      <c r="M142" s="77"/>
      <c r="N142" s="78">
        <f t="shared" si="5"/>
        <v>2527.1</v>
      </c>
    </row>
    <row r="143" ht="15.0" customHeight="1">
      <c r="D143" s="69">
        <f t="shared" si="4"/>
        <v>129</v>
      </c>
      <c r="E143" s="74" t="s">
        <v>328</v>
      </c>
      <c r="F143" s="70" t="s">
        <v>25</v>
      </c>
      <c r="G143" s="69">
        <f t="shared" si="1"/>
        <v>400</v>
      </c>
      <c r="H143" s="71">
        <v>26.0</v>
      </c>
      <c r="I143" s="77">
        <v>4.0</v>
      </c>
      <c r="J143" s="77">
        <f t="shared" si="2"/>
        <v>23.2</v>
      </c>
      <c r="K143" s="79"/>
      <c r="L143" s="79"/>
      <c r="M143" s="77"/>
      <c r="N143" s="78">
        <f t="shared" si="5"/>
        <v>2464.8</v>
      </c>
    </row>
    <row r="144" ht="15.0" customHeight="1">
      <c r="D144" s="69">
        <f t="shared" si="4"/>
        <v>130</v>
      </c>
      <c r="E144" s="74" t="s">
        <v>329</v>
      </c>
      <c r="F144" s="70" t="s">
        <v>25</v>
      </c>
      <c r="G144" s="69">
        <f t="shared" si="1"/>
        <v>400</v>
      </c>
      <c r="H144" s="71">
        <v>26.0</v>
      </c>
      <c r="I144" s="77">
        <v>3.0</v>
      </c>
      <c r="J144" s="77">
        <f t="shared" si="2"/>
        <v>23.9</v>
      </c>
      <c r="K144" s="79"/>
      <c r="L144" s="79"/>
      <c r="M144" s="77"/>
      <c r="N144" s="78">
        <f t="shared" si="5"/>
        <v>2527.1</v>
      </c>
    </row>
    <row r="145" ht="15.0" customHeight="1">
      <c r="D145" s="69">
        <f t="shared" si="4"/>
        <v>131</v>
      </c>
      <c r="E145" s="74" t="s">
        <v>330</v>
      </c>
      <c r="F145" s="70" t="s">
        <v>25</v>
      </c>
      <c r="G145" s="69">
        <f t="shared" si="1"/>
        <v>400</v>
      </c>
      <c r="H145" s="71">
        <v>26.0</v>
      </c>
      <c r="I145" s="77">
        <v>3.0</v>
      </c>
      <c r="J145" s="77">
        <f t="shared" si="2"/>
        <v>23.9</v>
      </c>
      <c r="K145" s="79"/>
      <c r="L145" s="79"/>
      <c r="M145" s="77"/>
      <c r="N145" s="78">
        <f t="shared" si="5"/>
        <v>2527.1</v>
      </c>
    </row>
    <row r="146" ht="15.0" customHeight="1">
      <c r="D146" s="69">
        <f t="shared" si="4"/>
        <v>132</v>
      </c>
      <c r="E146" s="74" t="s">
        <v>331</v>
      </c>
      <c r="F146" s="70" t="s">
        <v>25</v>
      </c>
      <c r="G146" s="69">
        <f t="shared" si="1"/>
        <v>400</v>
      </c>
      <c r="H146" s="71">
        <v>26.0</v>
      </c>
      <c r="I146" s="77"/>
      <c r="J146" s="77">
        <f t="shared" si="2"/>
        <v>26</v>
      </c>
      <c r="K146" s="79"/>
      <c r="L146" s="79"/>
      <c r="M146" s="77"/>
      <c r="N146" s="78">
        <f t="shared" si="5"/>
        <v>2714</v>
      </c>
    </row>
    <row r="147" ht="15.0" customHeight="1">
      <c r="D147" s="69">
        <f t="shared" si="4"/>
        <v>133</v>
      </c>
      <c r="E147" s="74" t="s">
        <v>332</v>
      </c>
      <c r="F147" s="70" t="s">
        <v>25</v>
      </c>
      <c r="G147" s="69">
        <f t="shared" si="1"/>
        <v>400</v>
      </c>
      <c r="H147" s="71">
        <v>26.0</v>
      </c>
      <c r="I147" s="77">
        <v>4.0</v>
      </c>
      <c r="J147" s="77">
        <f t="shared" si="2"/>
        <v>23.2</v>
      </c>
      <c r="K147" s="79"/>
      <c r="L147" s="79"/>
      <c r="M147" s="77"/>
      <c r="N147" s="78">
        <f t="shared" si="5"/>
        <v>2464.8</v>
      </c>
    </row>
    <row r="148" ht="15.0" customHeight="1">
      <c r="D148" s="69">
        <f t="shared" si="4"/>
        <v>134</v>
      </c>
      <c r="E148" s="74" t="s">
        <v>333</v>
      </c>
      <c r="F148" s="70" t="s">
        <v>25</v>
      </c>
      <c r="G148" s="69">
        <f t="shared" si="1"/>
        <v>400</v>
      </c>
      <c r="H148" s="71">
        <v>26.0</v>
      </c>
      <c r="I148" s="77"/>
      <c r="J148" s="77">
        <f t="shared" si="2"/>
        <v>26</v>
      </c>
      <c r="K148" s="79"/>
      <c r="L148" s="79"/>
      <c r="M148" s="77"/>
      <c r="N148" s="78">
        <f t="shared" si="5"/>
        <v>2714</v>
      </c>
    </row>
    <row r="149" ht="15.0" customHeight="1">
      <c r="D149" s="69">
        <f t="shared" si="4"/>
        <v>135</v>
      </c>
      <c r="E149" s="74" t="s">
        <v>334</v>
      </c>
      <c r="F149" s="70" t="s">
        <v>25</v>
      </c>
      <c r="G149" s="69">
        <f t="shared" si="1"/>
        <v>400</v>
      </c>
      <c r="H149" s="71">
        <v>26.0</v>
      </c>
      <c r="I149" s="77">
        <v>3.0</v>
      </c>
      <c r="J149" s="77">
        <f t="shared" si="2"/>
        <v>23.9</v>
      </c>
      <c r="K149" s="79"/>
      <c r="L149" s="79"/>
      <c r="M149" s="77"/>
      <c r="N149" s="78">
        <f t="shared" si="5"/>
        <v>2527.1</v>
      </c>
    </row>
    <row r="150" ht="15.0" customHeight="1">
      <c r="D150" s="69">
        <f t="shared" si="4"/>
        <v>136</v>
      </c>
      <c r="E150" s="74" t="s">
        <v>335</v>
      </c>
      <c r="F150" s="70" t="s">
        <v>25</v>
      </c>
      <c r="G150" s="69">
        <f t="shared" si="1"/>
        <v>400</v>
      </c>
      <c r="H150" s="71">
        <v>26.0</v>
      </c>
      <c r="I150" s="77">
        <v>3.0</v>
      </c>
      <c r="J150" s="77">
        <f t="shared" si="2"/>
        <v>23.9</v>
      </c>
      <c r="K150" s="79"/>
      <c r="L150" s="79"/>
      <c r="M150" s="77"/>
      <c r="N150" s="78">
        <f t="shared" si="5"/>
        <v>2527.1</v>
      </c>
    </row>
    <row r="151" ht="15.0" customHeight="1">
      <c r="D151" s="69">
        <f t="shared" si="4"/>
        <v>137</v>
      </c>
      <c r="E151" s="74" t="s">
        <v>336</v>
      </c>
      <c r="F151" s="70" t="s">
        <v>25</v>
      </c>
      <c r="G151" s="69">
        <f t="shared" si="1"/>
        <v>400</v>
      </c>
      <c r="H151" s="71">
        <v>26.0</v>
      </c>
      <c r="I151" s="77">
        <v>6.0</v>
      </c>
      <c r="J151" s="77">
        <f t="shared" si="2"/>
        <v>21.8</v>
      </c>
      <c r="K151" s="79"/>
      <c r="L151" s="79"/>
      <c r="M151" s="77"/>
      <c r="N151" s="78">
        <f t="shared" si="5"/>
        <v>2340.2</v>
      </c>
    </row>
    <row r="152" ht="15.0" customHeight="1">
      <c r="D152" s="69">
        <f t="shared" si="4"/>
        <v>138</v>
      </c>
      <c r="E152" s="69" t="s">
        <v>337</v>
      </c>
      <c r="F152" s="70" t="s">
        <v>198</v>
      </c>
      <c r="G152" s="69">
        <f t="shared" si="1"/>
        <v>400</v>
      </c>
      <c r="H152" s="71">
        <v>26.0</v>
      </c>
      <c r="I152" s="77"/>
      <c r="J152" s="77">
        <f t="shared" si="2"/>
        <v>26</v>
      </c>
      <c r="K152" s="79"/>
      <c r="L152" s="79"/>
      <c r="M152" s="77"/>
      <c r="N152" s="78">
        <f t="shared" si="5"/>
        <v>2714</v>
      </c>
    </row>
    <row r="153" ht="15.0" customHeight="1">
      <c r="D153" s="69">
        <f t="shared" si="4"/>
        <v>139</v>
      </c>
      <c r="E153" s="70" t="s">
        <v>338</v>
      </c>
      <c r="F153" s="70" t="s">
        <v>339</v>
      </c>
      <c r="G153" s="69">
        <f t="shared" si="1"/>
        <v>400</v>
      </c>
      <c r="H153" s="71">
        <v>26.0</v>
      </c>
      <c r="I153" s="77">
        <v>4.0</v>
      </c>
      <c r="J153" s="77">
        <f t="shared" si="2"/>
        <v>23.2</v>
      </c>
      <c r="K153" s="79"/>
      <c r="L153" s="79"/>
      <c r="M153" s="77"/>
      <c r="N153" s="78">
        <f t="shared" si="5"/>
        <v>2464.8</v>
      </c>
    </row>
    <row r="154" ht="15.0" customHeight="1">
      <c r="D154" s="69">
        <f t="shared" si="4"/>
        <v>140</v>
      </c>
      <c r="E154" s="74" t="s">
        <v>340</v>
      </c>
      <c r="F154" s="70" t="s">
        <v>212</v>
      </c>
      <c r="G154" s="69">
        <f t="shared" si="1"/>
        <v>400</v>
      </c>
      <c r="H154" s="71">
        <v>26.0</v>
      </c>
      <c r="I154" s="77"/>
      <c r="J154" s="77">
        <f t="shared" si="2"/>
        <v>26</v>
      </c>
      <c r="K154" s="79"/>
      <c r="L154" s="79">
        <v>5.0</v>
      </c>
      <c r="M154" s="77"/>
      <c r="N154" s="78">
        <f t="shared" si="5"/>
        <v>2719</v>
      </c>
    </row>
    <row r="155" ht="15.0" customHeight="1">
      <c r="D155" s="69">
        <f t="shared" si="4"/>
        <v>141</v>
      </c>
      <c r="E155" s="74" t="s">
        <v>341</v>
      </c>
      <c r="F155" s="70" t="s">
        <v>212</v>
      </c>
      <c r="G155" s="69">
        <f t="shared" si="1"/>
        <v>400</v>
      </c>
      <c r="H155" s="71">
        <v>26.0</v>
      </c>
      <c r="I155" s="77">
        <v>3.0</v>
      </c>
      <c r="J155" s="77">
        <f t="shared" si="2"/>
        <v>23.9</v>
      </c>
      <c r="K155" s="79"/>
      <c r="L155" s="79"/>
      <c r="M155" s="77"/>
      <c r="N155" s="78">
        <f t="shared" si="5"/>
        <v>2527.1</v>
      </c>
    </row>
    <row r="156" ht="15.0" customHeight="1">
      <c r="D156" s="69">
        <f t="shared" si="4"/>
        <v>142</v>
      </c>
      <c r="E156" s="74" t="s">
        <v>342</v>
      </c>
      <c r="F156" s="70" t="s">
        <v>343</v>
      </c>
      <c r="G156" s="69">
        <f t="shared" si="1"/>
        <v>400</v>
      </c>
      <c r="H156" s="71">
        <v>26.0</v>
      </c>
      <c r="I156" s="77">
        <v>3.0</v>
      </c>
      <c r="J156" s="77">
        <f t="shared" si="2"/>
        <v>23.9</v>
      </c>
      <c r="K156" s="79"/>
      <c r="L156" s="79"/>
      <c r="M156" s="77"/>
      <c r="N156" s="78">
        <f t="shared" si="5"/>
        <v>2527.1</v>
      </c>
    </row>
    <row r="157" ht="15.0" customHeight="1">
      <c r="D157" s="69">
        <f t="shared" si="4"/>
        <v>143</v>
      </c>
      <c r="E157" s="70" t="s">
        <v>344</v>
      </c>
      <c r="F157" s="70" t="s">
        <v>25</v>
      </c>
      <c r="G157" s="69">
        <f t="shared" si="1"/>
        <v>400</v>
      </c>
      <c r="H157" s="71">
        <v>26.0</v>
      </c>
      <c r="I157" s="77"/>
      <c r="J157" s="77">
        <f t="shared" si="2"/>
        <v>26</v>
      </c>
      <c r="K157" s="79"/>
      <c r="L157" s="79">
        <v>5.0</v>
      </c>
      <c r="M157" s="77"/>
      <c r="N157" s="78">
        <f t="shared" si="5"/>
        <v>2719</v>
      </c>
    </row>
    <row r="158" ht="15.0" customHeight="1">
      <c r="D158" s="69">
        <f t="shared" si="4"/>
        <v>144</v>
      </c>
      <c r="E158" s="74" t="s">
        <v>345</v>
      </c>
      <c r="F158" s="70" t="s">
        <v>254</v>
      </c>
      <c r="G158" s="69">
        <f t="shared" si="1"/>
        <v>400</v>
      </c>
      <c r="H158" s="71">
        <v>26.0</v>
      </c>
      <c r="I158" s="77">
        <v>7.0</v>
      </c>
      <c r="J158" s="77">
        <f t="shared" si="2"/>
        <v>21.1</v>
      </c>
      <c r="K158" s="79">
        <v>45.0</v>
      </c>
      <c r="L158" s="79">
        <v>20.0</v>
      </c>
      <c r="M158" s="77"/>
      <c r="N158" s="78">
        <f t="shared" si="5"/>
        <v>2342.9</v>
      </c>
    </row>
    <row r="159" ht="15.0" customHeight="1">
      <c r="D159" s="69">
        <f t="shared" si="4"/>
        <v>145</v>
      </c>
      <c r="E159" s="74" t="s">
        <v>346</v>
      </c>
      <c r="F159" s="70" t="s">
        <v>347</v>
      </c>
      <c r="G159" s="69">
        <f t="shared" si="1"/>
        <v>400</v>
      </c>
      <c r="H159" s="71">
        <v>26.0</v>
      </c>
      <c r="I159" s="77"/>
      <c r="J159" s="77">
        <f t="shared" si="2"/>
        <v>26</v>
      </c>
      <c r="K159" s="79"/>
      <c r="L159" s="79"/>
      <c r="M159" s="77"/>
      <c r="N159" s="78">
        <f t="shared" si="5"/>
        <v>2714</v>
      </c>
    </row>
    <row r="160" ht="15.0" customHeight="1">
      <c r="D160" s="69">
        <f t="shared" si="4"/>
        <v>146</v>
      </c>
      <c r="E160" s="74" t="s">
        <v>348</v>
      </c>
      <c r="F160" s="70" t="s">
        <v>349</v>
      </c>
      <c r="G160" s="69">
        <f t="shared" si="1"/>
        <v>400</v>
      </c>
      <c r="H160" s="71">
        <v>26.0</v>
      </c>
      <c r="I160" s="77">
        <v>10.0</v>
      </c>
      <c r="J160" s="77">
        <f t="shared" si="2"/>
        <v>19</v>
      </c>
      <c r="K160" s="79"/>
      <c r="L160" s="79"/>
      <c r="M160" s="77"/>
      <c r="N160" s="78">
        <f t="shared" si="5"/>
        <v>2091</v>
      </c>
    </row>
    <row r="161" ht="15.0" customHeight="1">
      <c r="D161" s="69">
        <f t="shared" si="4"/>
        <v>147</v>
      </c>
      <c r="E161" s="74" t="s">
        <v>350</v>
      </c>
      <c r="F161" s="70" t="s">
        <v>351</v>
      </c>
      <c r="G161" s="69">
        <f t="shared" si="1"/>
        <v>400</v>
      </c>
      <c r="H161" s="71">
        <v>26.0</v>
      </c>
      <c r="I161" s="77">
        <v>3.0</v>
      </c>
      <c r="J161" s="77">
        <f t="shared" si="2"/>
        <v>23.9</v>
      </c>
      <c r="K161" s="79"/>
      <c r="L161" s="79">
        <v>5.0</v>
      </c>
      <c r="M161" s="77"/>
      <c r="N161" s="78">
        <f t="shared" si="5"/>
        <v>2532.1</v>
      </c>
    </row>
    <row r="162" ht="15.0" customHeight="1">
      <c r="D162" s="69">
        <f t="shared" si="4"/>
        <v>148</v>
      </c>
      <c r="E162" s="80" t="s">
        <v>352</v>
      </c>
      <c r="F162" s="80" t="s">
        <v>212</v>
      </c>
      <c r="G162" s="69">
        <f t="shared" si="1"/>
        <v>400</v>
      </c>
      <c r="H162" s="71">
        <v>23.0</v>
      </c>
      <c r="I162" s="81">
        <v>4.0</v>
      </c>
      <c r="J162" s="81">
        <f t="shared" si="2"/>
        <v>20.2</v>
      </c>
      <c r="K162" s="82"/>
      <c r="L162" s="82"/>
      <c r="M162" s="81"/>
      <c r="N162" s="83">
        <f t="shared" si="5"/>
        <v>2197.8</v>
      </c>
    </row>
    <row r="163" ht="15.0" customHeight="1">
      <c r="D163" s="69">
        <f t="shared" si="4"/>
        <v>149</v>
      </c>
      <c r="E163" s="80" t="s">
        <v>353</v>
      </c>
      <c r="F163" s="80" t="s">
        <v>212</v>
      </c>
      <c r="G163" s="69">
        <f t="shared" si="1"/>
        <v>400</v>
      </c>
      <c r="H163" s="71">
        <v>23.0</v>
      </c>
      <c r="I163" s="81">
        <v>5.0</v>
      </c>
      <c r="J163" s="81">
        <f t="shared" si="2"/>
        <v>19.5</v>
      </c>
      <c r="K163" s="82"/>
      <c r="L163" s="82"/>
      <c r="M163" s="81"/>
      <c r="N163" s="83">
        <f t="shared" si="5"/>
        <v>2135.5</v>
      </c>
    </row>
    <row r="164" ht="15.0" customHeight="1">
      <c r="D164" s="69">
        <f t="shared" si="4"/>
        <v>150</v>
      </c>
      <c r="E164" s="70" t="s">
        <v>354</v>
      </c>
      <c r="F164" s="70" t="s">
        <v>212</v>
      </c>
      <c r="G164" s="69">
        <f t="shared" si="1"/>
        <v>400</v>
      </c>
      <c r="H164" s="71">
        <v>22.0</v>
      </c>
      <c r="I164" s="77"/>
      <c r="J164" s="77">
        <f t="shared" si="2"/>
        <v>22</v>
      </c>
      <c r="K164" s="79"/>
      <c r="L164" s="79"/>
      <c r="M164" s="77"/>
      <c r="N164" s="78">
        <f t="shared" si="5"/>
        <v>2358</v>
      </c>
    </row>
    <row r="165" ht="15.0" customHeight="1">
      <c r="D165" s="69">
        <f t="shared" si="4"/>
        <v>151</v>
      </c>
      <c r="E165" s="80" t="s">
        <v>355</v>
      </c>
      <c r="F165" s="80" t="s">
        <v>118</v>
      </c>
      <c r="G165" s="69">
        <f t="shared" si="1"/>
        <v>400</v>
      </c>
      <c r="H165" s="81">
        <v>17.0</v>
      </c>
      <c r="I165" s="81"/>
      <c r="J165" s="81">
        <f t="shared" si="2"/>
        <v>17</v>
      </c>
      <c r="K165" s="82"/>
      <c r="L165" s="82"/>
      <c r="M165" s="81"/>
      <c r="N165" s="83">
        <f t="shared" si="5"/>
        <v>1913</v>
      </c>
    </row>
    <row r="166" ht="15.0" customHeight="1">
      <c r="D166" s="69">
        <f t="shared" si="4"/>
        <v>152</v>
      </c>
      <c r="E166" s="70" t="s">
        <v>356</v>
      </c>
      <c r="F166" s="70" t="s">
        <v>25</v>
      </c>
      <c r="G166" s="69">
        <f t="shared" si="1"/>
        <v>400</v>
      </c>
      <c r="H166" s="77">
        <v>26.0</v>
      </c>
      <c r="I166" s="77">
        <v>3.0</v>
      </c>
      <c r="J166" s="77">
        <f t="shared" si="2"/>
        <v>23.9</v>
      </c>
      <c r="K166" s="79"/>
      <c r="L166" s="79"/>
      <c r="M166" s="77"/>
      <c r="N166" s="78">
        <f t="shared" si="5"/>
        <v>2527.1</v>
      </c>
      <c r="O166" s="84"/>
    </row>
    <row r="167" ht="15.75" customHeight="1">
      <c r="D167" s="85"/>
      <c r="E167" s="86"/>
      <c r="F167" s="86"/>
      <c r="G167" s="87"/>
      <c r="H167" s="87"/>
      <c r="I167" s="87"/>
      <c r="J167" s="87"/>
      <c r="K167" s="88"/>
      <c r="L167" s="88"/>
      <c r="M167" s="87"/>
      <c r="N167" s="87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14"/>
  </hyperlinks>
  <printOptions/>
  <pageMargins bottom="0.75" footer="0.0" header="0.0" left="0.25" right="0.25" top="0.75"/>
  <pageSetup fitToHeight="0" paperSize="9"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5"/>
    <col customWidth="1" min="2" max="26" width="8.63"/>
  </cols>
  <sheetData>
    <row r="1" ht="12.75" customHeight="1"/>
    <row r="2" ht="12.75" customHeight="1">
      <c r="B2" s="76" t="s">
        <v>357</v>
      </c>
    </row>
    <row r="3" ht="12.75" customHeight="1">
      <c r="A3" s="76" t="s">
        <v>358</v>
      </c>
      <c r="B3" s="76">
        <v>7.0</v>
      </c>
    </row>
    <row r="4" ht="12.75" customHeight="1">
      <c r="A4" s="76" t="s">
        <v>359</v>
      </c>
      <c r="B4" s="76">
        <v>5.0</v>
      </c>
    </row>
    <row r="5" ht="12.75" customHeight="1">
      <c r="A5" s="76" t="s">
        <v>360</v>
      </c>
    </row>
    <row r="6" ht="12.75" customHeight="1">
      <c r="A6" s="76" t="s">
        <v>361</v>
      </c>
      <c r="B6" s="76">
        <v>2.0</v>
      </c>
    </row>
    <row r="7" ht="12.75" customHeight="1">
      <c r="A7" s="76" t="s">
        <v>362</v>
      </c>
    </row>
    <row r="8" ht="12.75" customHeight="1">
      <c r="A8" s="76" t="s">
        <v>363</v>
      </c>
      <c r="B8" s="76">
        <v>2.0</v>
      </c>
    </row>
    <row r="9" ht="12.75" customHeight="1">
      <c r="A9" s="76" t="s">
        <v>364</v>
      </c>
      <c r="B9" s="76">
        <v>11.0</v>
      </c>
    </row>
    <row r="10" ht="12.75" customHeight="1">
      <c r="A10" s="76" t="s">
        <v>365</v>
      </c>
      <c r="B10" s="76">
        <v>2.0</v>
      </c>
    </row>
    <row r="11" ht="12.75" customHeight="1">
      <c r="A11" s="76" t="s">
        <v>366</v>
      </c>
    </row>
    <row r="12" ht="12.75" customHeight="1">
      <c r="A12" s="76" t="s">
        <v>367</v>
      </c>
    </row>
    <row r="13" ht="12.75" customHeight="1">
      <c r="A13" s="76" t="s">
        <v>368</v>
      </c>
      <c r="B13" s="76">
        <v>2.0</v>
      </c>
    </row>
    <row r="14" ht="12.75" customHeight="1">
      <c r="A14" s="76" t="s">
        <v>369</v>
      </c>
      <c r="B14" s="76">
        <v>8.0</v>
      </c>
    </row>
    <row r="15" ht="12.75" customHeight="1">
      <c r="A15" s="76" t="s">
        <v>370</v>
      </c>
      <c r="B15" s="76">
        <v>4.0</v>
      </c>
    </row>
    <row r="16" ht="12.75" customHeight="1">
      <c r="A16" s="76" t="s">
        <v>371</v>
      </c>
      <c r="B16" s="76">
        <v>4.0</v>
      </c>
    </row>
    <row r="17" ht="12.75" customHeight="1">
      <c r="A17" s="76" t="s">
        <v>367</v>
      </c>
    </row>
    <row r="18" ht="12.75" customHeight="1">
      <c r="A18" s="76" t="s">
        <v>372</v>
      </c>
    </row>
    <row r="19" ht="12.75" customHeight="1">
      <c r="A19" s="76" t="s">
        <v>373</v>
      </c>
      <c r="B19" s="76">
        <v>4.0</v>
      </c>
    </row>
    <row r="20" ht="12.75" customHeight="1">
      <c r="A20" s="76" t="s">
        <v>374</v>
      </c>
      <c r="B20" s="76">
        <v>3.0</v>
      </c>
    </row>
    <row r="21" ht="12.75" customHeight="1">
      <c r="A21" s="76" t="s">
        <v>375</v>
      </c>
    </row>
    <row r="22" ht="12.75" customHeight="1">
      <c r="A22" s="76" t="s">
        <v>376</v>
      </c>
      <c r="B22" s="76">
        <v>4.0</v>
      </c>
    </row>
    <row r="23" ht="12.75" customHeight="1">
      <c r="A23" s="76" t="s">
        <v>377</v>
      </c>
      <c r="B23" s="76">
        <v>2.0</v>
      </c>
    </row>
    <row r="24" ht="12.75" customHeight="1">
      <c r="A24" s="76" t="s">
        <v>378</v>
      </c>
      <c r="B24" s="76">
        <v>4.0</v>
      </c>
    </row>
    <row r="25" ht="12.75" customHeight="1">
      <c r="A25" s="76" t="s">
        <v>379</v>
      </c>
      <c r="B25" s="76">
        <v>5.0</v>
      </c>
    </row>
    <row r="26" ht="12.75" customHeight="1">
      <c r="A26" s="76" t="s">
        <v>380</v>
      </c>
      <c r="B26" s="76">
        <v>2.0</v>
      </c>
    </row>
    <row r="27" ht="12.75" customHeight="1">
      <c r="A27" s="76" t="s">
        <v>381</v>
      </c>
      <c r="B27" s="76">
        <v>3.0</v>
      </c>
    </row>
    <row r="28" ht="12.75" customHeight="1">
      <c r="A28" s="76" t="s">
        <v>382</v>
      </c>
    </row>
    <row r="29" ht="12.75" customHeight="1">
      <c r="A29" s="76" t="s">
        <v>383</v>
      </c>
      <c r="B29" s="76">
        <v>4.0</v>
      </c>
    </row>
    <row r="30" ht="12.75" customHeight="1">
      <c r="A30" s="76" t="s">
        <v>384</v>
      </c>
    </row>
    <row r="31" ht="12.75" customHeight="1">
      <c r="A31" s="76" t="s">
        <v>385</v>
      </c>
    </row>
    <row r="32" ht="12.75" customHeight="1">
      <c r="A32" s="76" t="s">
        <v>386</v>
      </c>
      <c r="B32" s="76">
        <v>2.0</v>
      </c>
    </row>
    <row r="33" ht="12.75" customHeight="1">
      <c r="A33" s="76" t="s">
        <v>387</v>
      </c>
    </row>
    <row r="34" ht="12.75" customHeight="1">
      <c r="A34" s="76" t="s">
        <v>388</v>
      </c>
    </row>
    <row r="35" ht="12.75" customHeight="1">
      <c r="A35" s="76" t="s">
        <v>389</v>
      </c>
      <c r="B35" s="76">
        <v>3.0</v>
      </c>
    </row>
    <row r="36" ht="12.75" customHeight="1">
      <c r="A36" s="76" t="s">
        <v>390</v>
      </c>
    </row>
    <row r="37" ht="12.75" customHeight="1">
      <c r="A37" s="76" t="s">
        <v>391</v>
      </c>
      <c r="B37" s="76">
        <v>5.0</v>
      </c>
    </row>
    <row r="38" ht="12.75" customHeight="1">
      <c r="A38" s="76" t="s">
        <v>392</v>
      </c>
    </row>
    <row r="39" ht="12.75" customHeight="1">
      <c r="A39" s="76" t="s">
        <v>393</v>
      </c>
      <c r="B39" s="76">
        <v>4.0</v>
      </c>
    </row>
    <row r="40" ht="12.75" customHeight="1">
      <c r="A40" s="76" t="s">
        <v>394</v>
      </c>
      <c r="B40" s="76">
        <v>6.0</v>
      </c>
    </row>
    <row r="41" ht="12.75" customHeight="1">
      <c r="A41" s="76" t="s">
        <v>395</v>
      </c>
      <c r="B41" s="76">
        <v>4.0</v>
      </c>
    </row>
    <row r="42" ht="12.75" customHeight="1">
      <c r="A42" s="76" t="s">
        <v>396</v>
      </c>
      <c r="B42" s="76">
        <v>3.0</v>
      </c>
    </row>
    <row r="43" ht="12.75" customHeight="1">
      <c r="A43" s="76" t="s">
        <v>397</v>
      </c>
      <c r="B43" s="76">
        <v>2.0</v>
      </c>
    </row>
    <row r="44" ht="12.75" customHeight="1">
      <c r="A44" s="76" t="s">
        <v>398</v>
      </c>
      <c r="B44" s="76">
        <v>6.0</v>
      </c>
    </row>
    <row r="45" ht="12.75" customHeight="1">
      <c r="A45" s="76" t="s">
        <v>399</v>
      </c>
      <c r="B45" s="76">
        <v>3.0</v>
      </c>
    </row>
    <row r="46" ht="12.75" customHeight="1">
      <c r="A46" s="76" t="s">
        <v>400</v>
      </c>
      <c r="B46" s="76">
        <v>3.0</v>
      </c>
    </row>
    <row r="47" ht="12.75" customHeight="1">
      <c r="A47" s="76" t="s">
        <v>401</v>
      </c>
    </row>
    <row r="48" ht="12.75" customHeight="1">
      <c r="A48" s="76" t="s">
        <v>402</v>
      </c>
      <c r="B48" s="76">
        <v>2.0</v>
      </c>
    </row>
    <row r="49" ht="12.75" customHeight="1">
      <c r="A49" s="76" t="s">
        <v>403</v>
      </c>
      <c r="B49" s="76">
        <v>6.0</v>
      </c>
    </row>
    <row r="50" ht="12.75" customHeight="1">
      <c r="A50" s="76" t="s">
        <v>404</v>
      </c>
      <c r="B50" s="76">
        <v>5.0</v>
      </c>
    </row>
    <row r="51" ht="12.75" customHeight="1">
      <c r="A51" s="76" t="s">
        <v>405</v>
      </c>
    </row>
    <row r="52" ht="12.75" customHeight="1">
      <c r="A52" s="76" t="s">
        <v>406</v>
      </c>
      <c r="B52" s="76">
        <v>3.0</v>
      </c>
    </row>
    <row r="53" ht="12.75" customHeight="1">
      <c r="A53" s="76" t="s">
        <v>407</v>
      </c>
    </row>
    <row r="54" ht="12.75" customHeight="1">
      <c r="A54" s="76" t="s">
        <v>408</v>
      </c>
      <c r="B54" s="76">
        <v>5.0</v>
      </c>
    </row>
    <row r="55" ht="12.75" customHeight="1">
      <c r="A55" s="76" t="s">
        <v>409</v>
      </c>
      <c r="B55" s="76">
        <v>2.0</v>
      </c>
    </row>
    <row r="56" ht="12.75" customHeight="1">
      <c r="A56" s="76" t="s">
        <v>410</v>
      </c>
      <c r="B56" s="76">
        <v>3.0</v>
      </c>
    </row>
    <row r="57" ht="12.75" customHeight="1">
      <c r="A57" s="76" t="s">
        <v>411</v>
      </c>
    </row>
    <row r="58" ht="12.75" customHeight="1">
      <c r="A58" s="76" t="s">
        <v>412</v>
      </c>
    </row>
    <row r="59" ht="12.75" customHeight="1">
      <c r="A59" s="76" t="s">
        <v>413</v>
      </c>
    </row>
    <row r="60" ht="12.75" customHeight="1">
      <c r="A60" s="76" t="s">
        <v>414</v>
      </c>
    </row>
    <row r="61" ht="12.75" customHeight="1">
      <c r="A61" s="76" t="s">
        <v>415</v>
      </c>
      <c r="B61" s="76">
        <v>3.0</v>
      </c>
    </row>
    <row r="62" ht="12.75" customHeight="1">
      <c r="A62" s="76" t="s">
        <v>416</v>
      </c>
    </row>
    <row r="63" ht="12.75" customHeight="1">
      <c r="A63" s="76" t="s">
        <v>417</v>
      </c>
    </row>
    <row r="64" ht="12.75" customHeight="1">
      <c r="A64" s="76" t="s">
        <v>418</v>
      </c>
      <c r="B64" s="76">
        <v>2.0</v>
      </c>
    </row>
    <row r="65" ht="12.75" customHeight="1">
      <c r="A65" s="76" t="s">
        <v>419</v>
      </c>
      <c r="B65" s="76">
        <v>2.0</v>
      </c>
    </row>
    <row r="66" ht="12.75" customHeight="1">
      <c r="A66" s="76" t="s">
        <v>420</v>
      </c>
    </row>
    <row r="67" ht="12.75" customHeight="1">
      <c r="A67" s="76" t="s">
        <v>421</v>
      </c>
    </row>
    <row r="68" ht="12.75" customHeight="1">
      <c r="A68" s="76" t="s">
        <v>422</v>
      </c>
    </row>
    <row r="69" ht="12.75" customHeight="1">
      <c r="A69" s="76" t="s">
        <v>423</v>
      </c>
    </row>
    <row r="70" ht="12.75" customHeight="1">
      <c r="A70" s="76" t="s">
        <v>424</v>
      </c>
      <c r="B70" s="76">
        <v>2.0</v>
      </c>
    </row>
    <row r="71" ht="12.75" customHeight="1">
      <c r="A71" s="76" t="s">
        <v>425</v>
      </c>
    </row>
    <row r="72" ht="12.75" customHeight="1">
      <c r="A72" s="76" t="s">
        <v>426</v>
      </c>
      <c r="B72" s="76">
        <v>2.0</v>
      </c>
    </row>
    <row r="73" ht="12.75" customHeight="1">
      <c r="A73" s="76" t="s">
        <v>427</v>
      </c>
    </row>
    <row r="74" ht="12.75" customHeight="1">
      <c r="A74" s="76" t="s">
        <v>428</v>
      </c>
    </row>
    <row r="75" ht="12.75" customHeight="1">
      <c r="A75" s="76" t="s">
        <v>429</v>
      </c>
    </row>
    <row r="76" ht="12.75" customHeight="1">
      <c r="A76" s="76" t="s">
        <v>430</v>
      </c>
      <c r="B76" s="76">
        <v>2.0</v>
      </c>
    </row>
    <row r="77" ht="12.75" customHeight="1">
      <c r="A77" s="76" t="s">
        <v>431</v>
      </c>
    </row>
    <row r="78" ht="12.75" customHeight="1">
      <c r="A78" s="76" t="s">
        <v>432</v>
      </c>
      <c r="B78" s="76">
        <v>5.0</v>
      </c>
    </row>
    <row r="79" ht="12.75" customHeight="1">
      <c r="A79" s="76" t="s">
        <v>401</v>
      </c>
    </row>
    <row r="80" ht="12.75" customHeight="1">
      <c r="A80" s="76" t="s">
        <v>433</v>
      </c>
    </row>
    <row r="81" ht="12.75" customHeight="1">
      <c r="A81" s="76" t="s">
        <v>434</v>
      </c>
      <c r="B81" s="76">
        <v>2.0</v>
      </c>
    </row>
    <row r="82" ht="12.75" customHeight="1">
      <c r="A82" s="76" t="s">
        <v>435</v>
      </c>
    </row>
    <row r="83" ht="12.75" customHeight="1">
      <c r="A83" s="76" t="s">
        <v>436</v>
      </c>
    </row>
    <row r="84" ht="12.75" customHeight="1">
      <c r="A84" s="76" t="s">
        <v>437</v>
      </c>
      <c r="B84" s="76">
        <v>3.0</v>
      </c>
    </row>
    <row r="85" ht="12.75" customHeight="1">
      <c r="A85" s="76" t="s">
        <v>438</v>
      </c>
    </row>
    <row r="86" ht="12.75" customHeight="1">
      <c r="A86" s="76" t="s">
        <v>439</v>
      </c>
    </row>
    <row r="87" ht="12.75" customHeight="1">
      <c r="A87" s="76" t="s">
        <v>440</v>
      </c>
      <c r="B87" s="76">
        <v>2.0</v>
      </c>
    </row>
    <row r="88" ht="12.75" customHeight="1">
      <c r="A88" s="76" t="s">
        <v>441</v>
      </c>
    </row>
    <row r="89" ht="12.75" customHeight="1">
      <c r="A89" s="76" t="s">
        <v>442</v>
      </c>
    </row>
    <row r="90" ht="12.75" customHeight="1">
      <c r="A90" s="76" t="s">
        <v>443</v>
      </c>
    </row>
    <row r="91" ht="12.75" customHeight="1">
      <c r="A91" s="76" t="s">
        <v>444</v>
      </c>
    </row>
    <row r="92" ht="12.75" customHeight="1">
      <c r="A92" s="76" t="s">
        <v>445</v>
      </c>
    </row>
    <row r="93" ht="12.75" customHeight="1">
      <c r="A93" s="76" t="s">
        <v>446</v>
      </c>
    </row>
    <row r="94" ht="12.75" customHeight="1">
      <c r="A94" s="76" t="s">
        <v>447</v>
      </c>
      <c r="B94" s="76">
        <v>2.0</v>
      </c>
    </row>
    <row r="95" ht="12.75" customHeight="1">
      <c r="A95" s="76" t="s">
        <v>448</v>
      </c>
      <c r="B95" s="76">
        <v>2.0</v>
      </c>
    </row>
    <row r="96" ht="12.75" customHeight="1">
      <c r="A96" s="76" t="s">
        <v>449</v>
      </c>
    </row>
    <row r="97" ht="12.75" customHeight="1">
      <c r="A97" s="76" t="s">
        <v>450</v>
      </c>
      <c r="B97" s="76">
        <v>2.0</v>
      </c>
    </row>
    <row r="98" ht="12.75" customHeight="1">
      <c r="A98" s="76" t="s">
        <v>451</v>
      </c>
    </row>
    <row r="99" ht="12.75" customHeight="1">
      <c r="A99" s="76" t="s">
        <v>452</v>
      </c>
    </row>
    <row r="100" ht="12.75" customHeight="1">
      <c r="A100" s="76" t="s">
        <v>453</v>
      </c>
    </row>
    <row r="101" ht="12.75" customHeight="1">
      <c r="A101" s="76" t="s">
        <v>454</v>
      </c>
    </row>
    <row r="102" ht="12.75" customHeight="1">
      <c r="A102" s="76" t="s">
        <v>455</v>
      </c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2024-11-28T00:59:20Z</dcterms:created>
  <dc:creator>Anandhu Anil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a5abe553692e4ed99522a586a0e23d2b</vt:lpwstr>
  </property>
</Properties>
</file>